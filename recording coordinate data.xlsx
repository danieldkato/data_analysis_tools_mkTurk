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urgeois" sheetId="1" r:id="rId4"/>
    <sheet state="visible" name="E9-E12 locations + sessions" sheetId="2" r:id="rId5"/>
    <sheet state="visible" name="West" sheetId="3" r:id="rId6"/>
    <sheet state="visible" name="AJ" sheetId="4" r:id="rId7"/>
    <sheet state="visible" name="Sheet2" sheetId="5" r:id="rId8"/>
    <sheet state="visible" name="brain areas" sheetId="6" r:id="rId9"/>
    <sheet state="visible" name="trial countsmonkey" sheetId="7" r:id="rId10"/>
    <sheet state="visible" name="expt scenefiles" sheetId="8" r:id="rId11"/>
    <sheet state="visible" name="pre- and post-craniotomy perfor" sheetId="9" r:id="rId12"/>
    <sheet state="visible" name="first spike depths (by angle)" sheetId="10" r:id="rId13"/>
    <sheet state="visible" name="first spike depth (AP)" sheetId="11" r:id="rId14"/>
    <sheet state="visible" name="Sheet6" sheetId="12" r:id="rId15"/>
    <sheet state="visible" name="Sheet11" sheetId="13" r:id="rId16"/>
  </sheets>
  <definedNames/>
  <calcPr/>
</workbook>
</file>

<file path=xl/sharedStrings.xml><?xml version="1.0" encoding="utf-8"?>
<sst xmlns="http://schemas.openxmlformats.org/spreadsheetml/2006/main" count="7598" uniqueCount="2191">
  <si>
    <t>date</t>
  </si>
  <si>
    <t>HXX</t>
  </si>
  <si>
    <t>PXX</t>
  </si>
  <si>
    <t>AP, DV</t>
  </si>
  <si>
    <t>dAP, dDV</t>
  </si>
  <si>
    <t>depth from dura (u)</t>
  </si>
  <si>
    <t>angle</t>
  </si>
  <si>
    <t>Hangle</t>
  </si>
  <si>
    <t>Expt</t>
  </si>
  <si>
    <t>config</t>
  </si>
  <si>
    <t>notes</t>
  </si>
  <si>
    <t>probe</t>
  </si>
  <si>
    <t>10/25/2024</t>
  </si>
  <si>
    <t>H00</t>
  </si>
  <si>
    <t>P00</t>
  </si>
  <si>
    <t>00.0, 08.5</t>
  </si>
  <si>
    <t>00.0, 00.0</t>
  </si>
  <si>
    <t>89.6</t>
  </si>
  <si>
    <t>0.0</t>
  </si>
  <si>
    <t>E0</t>
  </si>
  <si>
    <t>long</t>
  </si>
  <si>
    <t xml:space="preserve">first recording. online, IT neurons were not detectable (should have been in TE0). nice activity in posterior hippocampus, not clear if the area was visual </t>
  </si>
  <si>
    <t>10/28/2024</t>
  </si>
  <si>
    <t>P01</t>
  </si>
  <si>
    <t>00.0, 07.5</t>
  </si>
  <si>
    <t>00.0, -01.0</t>
  </si>
  <si>
    <t>good activity in the lower bank, possible drive? IT neurons were again not detectable online. all 3 blocks completed</t>
  </si>
  <si>
    <t>10/29/2024</t>
  </si>
  <si>
    <t>P02</t>
  </si>
  <si>
    <t>01.0, 08.5</t>
  </si>
  <si>
    <t>01.0, 00.0</t>
  </si>
  <si>
    <t xml:space="preserve">again good activity in the lower bank, two separate bands with visual drive. no superficial IT activity. </t>
  </si>
  <si>
    <t>10/30/2024</t>
  </si>
  <si>
    <t>P03</t>
  </si>
  <si>
    <t>-00.9, 08.1</t>
  </si>
  <si>
    <t>-00.9, -00.4</t>
  </si>
  <si>
    <t>50.0</t>
  </si>
  <si>
    <t>--</t>
  </si>
  <si>
    <t xml:space="preserve">about 2mm of the probe broke off somewhere between the depths of 4400-4500. there were still spikes on ch 20, but we surmise that the tip encountered bone from the ear canal </t>
  </si>
  <si>
    <t xml:space="preserve">over 50 uses of probe 8 </t>
  </si>
  <si>
    <t>10/31/2024</t>
  </si>
  <si>
    <t>P04</t>
  </si>
  <si>
    <t>00.0, 07.9</t>
  </si>
  <si>
    <t>00.0, -00.6</t>
  </si>
  <si>
    <t xml:space="preserve">new probe ( dead chs 10, 15, 18, 33?). not as much activity as previous day (before the probe broke), but there’s a clear band from ~ch220 and below </t>
  </si>
  <si>
    <t>11/1/2024</t>
  </si>
  <si>
    <t>P05</t>
  </si>
  <si>
    <t>00.9, 08.0</t>
  </si>
  <si>
    <t>00.9, -00.5</t>
  </si>
  <si>
    <t>sightly better activity than previous day. activity in bottom 2/3 of chs. visual drive</t>
  </si>
  <si>
    <t>11/4/2024</t>
  </si>
  <si>
    <t>P06</t>
  </si>
  <si>
    <t>-00.8, 08.1</t>
  </si>
  <si>
    <t>-00.8, -00.4</t>
  </si>
  <si>
    <t>50.3</t>
  </si>
  <si>
    <t>the most supericial chs were in dura. high and very clear visual drive. activity increased over the session</t>
  </si>
  <si>
    <t>silastic replaced (first times since two day post-craniotomy)</t>
  </si>
  <si>
    <t>11/6/2024</t>
  </si>
  <si>
    <t>P07</t>
  </si>
  <si>
    <t>50.2</t>
  </si>
  <si>
    <t>E3</t>
  </si>
  <si>
    <t>found face hot spot in this area from the last recording. activity similar; clear, high visual drive</t>
  </si>
  <si>
    <t>11/7/2024</t>
  </si>
  <si>
    <t>P08</t>
  </si>
  <si>
    <t>clear and high visual drive. activity very similar to previous days. spikes up to at least ch 189; first spikes were 200u earlier while driving in than they have been</t>
  </si>
  <si>
    <t>11/8/2024</t>
  </si>
  <si>
    <t>P09</t>
  </si>
  <si>
    <t>E2</t>
  </si>
  <si>
    <t>probe started to bend so I backed up 50u to 4000. good confirmation that this is the limit. similar activity as previous recordings. seems like I can detect selectivity for faces online</t>
  </si>
  <si>
    <t>11/11/2024</t>
  </si>
  <si>
    <t>P10</t>
  </si>
  <si>
    <t xml:space="preserve">the probe was very clearly bending at 4000, so I must have been slightly deeper than usual at the dura touch. as soon as I backed up 50u the probe straightened out. less activity online throughout session </t>
  </si>
  <si>
    <t>11/12/2024</t>
  </si>
  <si>
    <t>P11</t>
  </si>
  <si>
    <t>60.0</t>
  </si>
  <si>
    <t xml:space="preserve">probe broke (~2mm) moving just past 4400. this time there was no sign of bending under the scope until the instant it broke (quick snap). </t>
  </si>
  <si>
    <t>11/13/2024</t>
  </si>
  <si>
    <t>P12</t>
  </si>
  <si>
    <t>E4</t>
  </si>
  <si>
    <t xml:space="preserve">new probe (less noisy?). good activity; improverment from last recording here. clear visual drive. </t>
  </si>
  <si>
    <t>silastic replaced</t>
  </si>
  <si>
    <t>11/14/2024</t>
  </si>
  <si>
    <t>P13</t>
  </si>
  <si>
    <t xml:space="preserve">similar activity to yesterday; high visual drive. activity increased over the session. still getting spikes at the tip even though I'd run into something solid past this depth </t>
  </si>
  <si>
    <t>11/15/2024</t>
  </si>
  <si>
    <t>P14</t>
  </si>
  <si>
    <t>-00.4, 08.0</t>
  </si>
  <si>
    <t>-00.4, -00.5</t>
  </si>
  <si>
    <t xml:space="preserve">good activity, shifted up the probe (~30chs?) compared to posterior. clear visual drive. superficial-most spike on ch197 </t>
  </si>
  <si>
    <t>11/18/2024</t>
  </si>
  <si>
    <t>P15</t>
  </si>
  <si>
    <t xml:space="preserve">good activity in the lower half of the probe. visual drive detectable </t>
  </si>
  <si>
    <t>11/19/2024</t>
  </si>
  <si>
    <t>P16</t>
  </si>
  <si>
    <t>55.0</t>
  </si>
  <si>
    <t>-10.0</t>
  </si>
  <si>
    <t>good activity and visual drive. spikes up to at least ch230 at the beginning of task.</t>
  </si>
  <si>
    <t>11/20/2024</t>
  </si>
  <si>
    <t>P17</t>
  </si>
  <si>
    <t>-05.0</t>
  </si>
  <si>
    <t>E5</t>
  </si>
  <si>
    <t>good visual drive, activity increased after settling – very high</t>
  </si>
  <si>
    <t>11/21/2024</t>
  </si>
  <si>
    <t>P18</t>
  </si>
  <si>
    <t>clear visual drive, not sure online if the area is face selective. spikes up to at least ch187</t>
  </si>
  <si>
    <t>11/22/2024</t>
  </si>
  <si>
    <t>P19</t>
  </si>
  <si>
    <t>55.1</t>
  </si>
  <si>
    <t xml:space="preserve">visual drive and activity high </t>
  </si>
  <si>
    <t>11/25/2024</t>
  </si>
  <si>
    <t>P20</t>
  </si>
  <si>
    <t>earliest first spikes (2000u). good drive and activity. spikes up to ch230 at least</t>
  </si>
  <si>
    <t>11/26/2024</t>
  </si>
  <si>
    <t>P21</t>
  </si>
  <si>
    <t>E8</t>
  </si>
  <si>
    <t>high visual drive. activity increased and over the session. spikes up to ~ch200?</t>
  </si>
  <si>
    <t>11/27/2024</t>
  </si>
  <si>
    <t>P22</t>
  </si>
  <si>
    <t>good activity and visual drive, spikes further up the probe today?</t>
  </si>
  <si>
    <t>12/2/2024</t>
  </si>
  <si>
    <t>P23</t>
  </si>
  <si>
    <t>-00.85, 08.1</t>
  </si>
  <si>
    <t>-00.85, -00.4</t>
  </si>
  <si>
    <t>good spread of activity and visual drive (eps in lower chs). Spikes up to ~ch200; pump noise online</t>
  </si>
  <si>
    <t>12/3/2024</t>
  </si>
  <si>
    <t>P24</t>
  </si>
  <si>
    <t>-15.0</t>
  </si>
  <si>
    <t>continuing to explore extent of face patch. lots of pump noise. good activity and visual drive, activity tip to ~ch180-190. some bursty high amp spikes</t>
  </si>
  <si>
    <t>12/4/2024</t>
  </si>
  <si>
    <t>P25</t>
  </si>
  <si>
    <t>-20.0</t>
  </si>
  <si>
    <t>no pump noise today. visual drive, not as clear due to high baseline activity in lower chs; very clear sound ch139</t>
  </si>
  <si>
    <t>12/5/2024</t>
  </si>
  <si>
    <t>P26</t>
  </si>
  <si>
    <t>spikes up to ~170, good activity. not seeing spikes as bursty an high amp as yesterday but activity is still very high. visual drive detectable</t>
  </si>
  <si>
    <t xml:space="preserve">accidentally broke 10 by bumping into it </t>
  </si>
  <si>
    <t>12/6/2024</t>
  </si>
  <si>
    <t>P27</t>
  </si>
  <si>
    <t>activity looks good even before settling, similar to previous day</t>
  </si>
  <si>
    <t>12/10/2024</t>
  </si>
  <si>
    <t>P28</t>
  </si>
  <si>
    <t>00.8, 08.0</t>
  </si>
  <si>
    <t>00.8, -00.5</t>
  </si>
  <si>
    <t>Activity up through ~ch40 of upper bank. nice single units, good activity in general. Lots of high amp spikes visual drive? not as clear as further posterior</t>
  </si>
  <si>
    <t>added silastic to border</t>
  </si>
  <si>
    <t>12/11/2024</t>
  </si>
  <si>
    <t>P29</t>
  </si>
  <si>
    <t>E1_00, L0</t>
  </si>
  <si>
    <t>first day of freeview.a ctivity very similar to yesterday. Spikes from ~ch20/30-upper bank 41 at least. not seeing much on the upper bank after settling</t>
  </si>
  <si>
    <t>12/12/2024</t>
  </si>
  <si>
    <t>P30</t>
  </si>
  <si>
    <t>E1_00, L1</t>
  </si>
  <si>
    <t>lowered reward to 435ms from 525ms. Overall good activity, up through the first page of chs in upper bank (~37 at least, may extend to 102). Some visual drive</t>
  </si>
  <si>
    <t>12/16/2024</t>
  </si>
  <si>
    <t>P31</t>
  </si>
  <si>
    <t>59.9</t>
  </si>
  <si>
    <t>E1_00, L2</t>
  </si>
  <si>
    <t>spikes up to ~ch30 of upper bank. visual drive. activity increased substantially over the session</t>
  </si>
  <si>
    <t>12/17/2024</t>
  </si>
  <si>
    <t>P32</t>
  </si>
  <si>
    <t>E1_00, L3</t>
  </si>
  <si>
    <t>Good activity, similar to previous recordings here. Spikes up to at least ch41 of upper bank</t>
  </si>
  <si>
    <t>12/18/2024</t>
  </si>
  <si>
    <t>P33</t>
  </si>
  <si>
    <t>00.8. 08.5</t>
  </si>
  <si>
    <t>00.8, 00.0</t>
  </si>
  <si>
    <t>90.0</t>
  </si>
  <si>
    <t xml:space="preserve">Very high activity in isolated groups throughout the probe. TE3 neurons around upper bank chs90-100. White matter/ventricle upper bank 33-46? another group of spikes in lower bank 144-211; more scattered units on the first page. very high frequ ch39 (lower bank) </t>
  </si>
  <si>
    <t>12/19/2024</t>
  </si>
  <si>
    <t>P34</t>
  </si>
  <si>
    <t>E1_01, L0</t>
  </si>
  <si>
    <t>Spikes up to at least ch93 of upper bank before task. similar groups of activity</t>
  </si>
  <si>
    <t>12/20/2024</t>
  </si>
  <si>
    <t>P35</t>
  </si>
  <si>
    <t>E1_01, L1</t>
  </si>
  <si>
    <t>Great activity throughout the probe; continuing to see isolated areas of activity</t>
  </si>
  <si>
    <t>12/23/2024</t>
  </si>
  <si>
    <t>P36</t>
  </si>
  <si>
    <t>E1_01, L2</t>
  </si>
  <si>
    <t>12/26/2024</t>
  </si>
  <si>
    <t>P37</t>
  </si>
  <si>
    <t>E1_01, L3</t>
  </si>
  <si>
    <t>12/27/2024</t>
  </si>
  <si>
    <t>P38</t>
  </si>
  <si>
    <t>12/30/2024</t>
  </si>
  <si>
    <t>P39</t>
  </si>
  <si>
    <t>1/2/2025</t>
  </si>
  <si>
    <t>P40</t>
  </si>
  <si>
    <t>1/3/2025</t>
  </si>
  <si>
    <t>P41</t>
  </si>
  <si>
    <t>E7_06, day 1</t>
  </si>
  <si>
    <r>
      <rPr>
        <rFont val="Arial"/>
        <color rgb="FFFF9900"/>
      </rPr>
      <t>OUTLIER SESSION</t>
    </r>
    <r>
      <rPr>
        <rFont val="Arial"/>
        <color theme="1"/>
      </rPr>
      <t>; E7 avocado-centered responses ~2.5x higher than responses to all other object-centered images</t>
    </r>
  </si>
  <si>
    <t>1/6/2025</t>
  </si>
  <si>
    <t>P42</t>
  </si>
  <si>
    <t>E7_06, day 2</t>
  </si>
  <si>
    <t>1/7/2025</t>
  </si>
  <si>
    <t>P43</t>
  </si>
  <si>
    <t>E7_07, day 1</t>
  </si>
  <si>
    <t>1/10/2025</t>
  </si>
  <si>
    <t>P44</t>
  </si>
  <si>
    <t>E7_07, day 2</t>
  </si>
  <si>
    <t>1/13/2025</t>
  </si>
  <si>
    <t>P45</t>
  </si>
  <si>
    <t>1/14/2025</t>
  </si>
  <si>
    <t>P46</t>
  </si>
  <si>
    <t>E6_13</t>
  </si>
  <si>
    <t>silastic added to border</t>
  </si>
  <si>
    <t>1/16/2025</t>
  </si>
  <si>
    <t>P47</t>
  </si>
  <si>
    <t>1/17/2025</t>
  </si>
  <si>
    <t>P48</t>
  </si>
  <si>
    <t>00.7, 08.5</t>
  </si>
  <si>
    <t>00.7, 00.0</t>
  </si>
  <si>
    <t>E6_14</t>
  </si>
  <si>
    <t>had to move -100 microns posterior; wasn't able to get the probe in at 00.8 to match previously tested AP.</t>
  </si>
  <si>
    <t xml:space="preserve">silastic replaced </t>
  </si>
  <si>
    <t>1/21/2025</t>
  </si>
  <si>
    <t>P49</t>
  </si>
  <si>
    <t>00.5, 08.5</t>
  </si>
  <si>
    <t>00.5, 00.0</t>
  </si>
  <si>
    <t xml:space="preserve">mapping another hippocampal coord </t>
  </si>
  <si>
    <t>1/22/2025</t>
  </si>
  <si>
    <t>P50</t>
  </si>
  <si>
    <t>1/23/2025</t>
  </si>
  <si>
    <t>P51</t>
  </si>
  <si>
    <t>1/24/2025</t>
  </si>
  <si>
    <t>P52</t>
  </si>
  <si>
    <t>54.2</t>
  </si>
  <si>
    <t>10.0</t>
  </si>
  <si>
    <t>estimating the tip of the probe @ AP01.9</t>
  </si>
  <si>
    <t>1/27/2025</t>
  </si>
  <si>
    <t>P53</t>
  </si>
  <si>
    <t>15.0</t>
  </si>
  <si>
    <t>estimating the tip of the probe @ AP02.1. good activity, two separate bands. visual drive. more activity than previous recording?</t>
  </si>
  <si>
    <t>1/28/2025</t>
  </si>
  <si>
    <t>P54</t>
  </si>
  <si>
    <t>1/29/2025</t>
  </si>
  <si>
    <t xml:space="preserve">craniotomy H01 </t>
  </si>
  <si>
    <t>1/30/2025</t>
  </si>
  <si>
    <t>P55</t>
  </si>
  <si>
    <t>E6_15</t>
  </si>
  <si>
    <t xml:space="preserve">reduced activity in the upper chs but not the deepest chs </t>
  </si>
  <si>
    <t>1/31/2025</t>
  </si>
  <si>
    <t>P56</t>
  </si>
  <si>
    <t>activity in upper chs again reduced. deep chs look good</t>
  </si>
  <si>
    <t>2/3/2025</t>
  </si>
  <si>
    <t>H01</t>
  </si>
  <si>
    <t>02.7, 06.6</t>
  </si>
  <si>
    <t>-00.3, -00.7</t>
  </si>
  <si>
    <t>0</t>
  </si>
  <si>
    <t xml:space="preserve">first definite spikes @ 3300. highest activity in the deepest chs. looking for face patch </t>
  </si>
  <si>
    <t>2/4/2025</t>
  </si>
  <si>
    <t>02.3, 06.6</t>
  </si>
  <si>
    <t>-00.7, -00.7</t>
  </si>
  <si>
    <t xml:space="preserve">long </t>
  </si>
  <si>
    <t>trying again for the face patch, seemed to have missed it yesterday</t>
  </si>
  <si>
    <t>silsatic replaced</t>
  </si>
  <si>
    <t>2/5/2025</t>
  </si>
  <si>
    <t>02.0, 06.85</t>
  </si>
  <si>
    <t>-01.0, -00.45</t>
  </si>
  <si>
    <r>
      <rPr>
        <rFont val="Arial"/>
        <b/>
        <color theme="1"/>
      </rPr>
      <t xml:space="preserve">mksensor randomly stopped collecting data at some point after 1000 trials. ran extra trials to make up for those lost. </t>
    </r>
    <r>
      <rPr>
        <rFont val="Arial"/>
        <color theme="1"/>
      </rPr>
      <t>good activity up through ~ch270. aiming for face patch. some face selectivity in yesterday's recording, suggesting I'm getting closer</t>
    </r>
  </si>
  <si>
    <t>2/6/2025</t>
  </si>
  <si>
    <t>02.1, 06.75</t>
  </si>
  <si>
    <t>-00.9, -00.55</t>
  </si>
  <si>
    <t>2/7/2025</t>
  </si>
  <si>
    <t>02.5, 06.6</t>
  </si>
  <si>
    <t>-00.5, -00.7</t>
  </si>
  <si>
    <t>50.1</t>
  </si>
  <si>
    <t>2/10/2025</t>
  </si>
  <si>
    <t>03.0, 06.4</t>
  </si>
  <si>
    <t>00.0, -00.9</t>
  </si>
  <si>
    <t>2/12/2025</t>
  </si>
  <si>
    <t xml:space="preserve">still looking for middle face patch. good activty in two distinct areas of the probe </t>
  </si>
  <si>
    <t>2/13/2025</t>
  </si>
  <si>
    <t>03.5, 06.6</t>
  </si>
  <si>
    <t>00.5, -00.7</t>
  </si>
  <si>
    <t>three separate areas of spikes</t>
  </si>
  <si>
    <t>2/17/2025</t>
  </si>
  <si>
    <t>E1_04, L0</t>
  </si>
  <si>
    <t>2/18/2025</t>
  </si>
  <si>
    <t>E1_04, L1</t>
  </si>
  <si>
    <t>2/19/2025</t>
  </si>
  <si>
    <t>E1_04, L2</t>
  </si>
  <si>
    <t>possible face selectivity in the deepest chs?</t>
  </si>
  <si>
    <t>2/21/2025</t>
  </si>
  <si>
    <t>E1_04, L3</t>
  </si>
  <si>
    <t>went a little deeper to see if I can get face selectivity in the deep chs</t>
  </si>
  <si>
    <t>2/25/2025</t>
  </si>
  <si>
    <t>45.2</t>
  </si>
  <si>
    <r>
      <rPr>
        <rFont val="Arial"/>
        <b/>
        <color theme="1"/>
      </rPr>
      <t>face selectivity.</t>
    </r>
    <r>
      <rPr>
        <rFont val="Arial"/>
        <color theme="1"/>
      </rPr>
      <t xml:space="preserve"> first recording at 45 deg VAng</t>
    </r>
  </si>
  <si>
    <t>2/26/2025</t>
  </si>
  <si>
    <t xml:space="preserve">face selectivity </t>
  </si>
  <si>
    <t>2/27/2025</t>
  </si>
  <si>
    <t>02.2, 06.5</t>
  </si>
  <si>
    <t>-00.8, -00.8</t>
  </si>
  <si>
    <t xml:space="preserve">some face selectivity, not as strong as previous two recordings </t>
  </si>
  <si>
    <t>2/28/2025</t>
  </si>
  <si>
    <t>02.75, 06.4</t>
  </si>
  <si>
    <t>-00.25, -00.9</t>
  </si>
  <si>
    <t>3/3/2025</t>
  </si>
  <si>
    <t>03.3, 06.4</t>
  </si>
  <si>
    <t>00.3, -00.9</t>
  </si>
  <si>
    <t>some face selectivity but not a lot. noise throughout the left side of the probe only?</t>
  </si>
  <si>
    <t>3/4/2025</t>
  </si>
  <si>
    <t>45.1</t>
  </si>
  <si>
    <t>going back to an area of higher face selectivity to run manipulated faces. --&gt; no face response in the data analyses</t>
  </si>
  <si>
    <t>3/5/2025</t>
  </si>
  <si>
    <t>03.75, 06.9</t>
  </si>
  <si>
    <t>00.75, -00.4</t>
  </si>
  <si>
    <t>good spread of activity, some visual drive detectable online. densest activity in deeper chs</t>
  </si>
  <si>
    <t>3/6/2025</t>
  </si>
  <si>
    <t>02.5, 06.4</t>
  </si>
  <si>
    <t>-00.5, -00.9</t>
  </si>
  <si>
    <t>42.0</t>
  </si>
  <si>
    <t>3/10/2025</t>
  </si>
  <si>
    <t>E7_08, day 1</t>
  </si>
  <si>
    <t>3/11/2025</t>
  </si>
  <si>
    <t>E7_08, day 2</t>
  </si>
  <si>
    <t>3/12/2025</t>
  </si>
  <si>
    <t>3/13/2025</t>
  </si>
  <si>
    <t>3/18/2025</t>
  </si>
  <si>
    <t>3/19/2025</t>
  </si>
  <si>
    <t>03.0, 06.3</t>
  </si>
  <si>
    <t>pretty good face response, some inhibition</t>
  </si>
  <si>
    <t>3/20/2025</t>
  </si>
  <si>
    <t xml:space="preserve">Bourg was unusually sleepy during this recording and the previous one </t>
  </si>
  <si>
    <t>3/24/2025</t>
  </si>
  <si>
    <t>3/25/2025</t>
  </si>
  <si>
    <t>3/27/2025</t>
  </si>
  <si>
    <t xml:space="preserve">still getting good activity online after repeat penetrations </t>
  </si>
  <si>
    <t>3/28/2025</t>
  </si>
  <si>
    <t>E7_00, day 1</t>
  </si>
  <si>
    <t>spikes at 1400 -- shallowest depth so far. activity still strong</t>
  </si>
  <si>
    <t>3/31/2025</t>
  </si>
  <si>
    <t>E7_00, day 2</t>
  </si>
  <si>
    <t>good activity continued, more noise in this recording</t>
  </si>
  <si>
    <t>4/1/2025</t>
  </si>
  <si>
    <t>02.3, 06.9</t>
  </si>
  <si>
    <t>-00.7, -00.4</t>
  </si>
  <si>
    <t>three separate areas of good activity not sure if there's visual drive in HC</t>
  </si>
  <si>
    <t>4/2/2025</t>
  </si>
  <si>
    <t>80.0</t>
  </si>
  <si>
    <t>spikes throughout most of the lower bank and some IT spikes in upper. no clesr visual drive</t>
  </si>
  <si>
    <t>4/3/2025</t>
  </si>
  <si>
    <t>regular behavior. H01 was disturbed in the process of removing silastic. giving Bourg the day off. Irritation in the lower left section of the hole. Record anterior tomorrow</t>
  </si>
  <si>
    <t>4/4/2025</t>
  </si>
  <si>
    <t>03.7, 06.7</t>
  </si>
  <si>
    <t>00.7, -00.6</t>
  </si>
  <si>
    <t>69.9</t>
  </si>
  <si>
    <t xml:space="preserve">three separate areas of activity. spikes looked more impressive while driving in, but there was still activity. great performance day for bourg. he finished within his normal time range for the first time in a while </t>
  </si>
  <si>
    <t>4/7/2025</t>
  </si>
  <si>
    <t>60.1</t>
  </si>
  <si>
    <t>three areas of activity, finally see spikes in the deepest chs. sparse activity in superficial chs</t>
  </si>
  <si>
    <t>4/8/2025</t>
  </si>
  <si>
    <t>70.1</t>
  </si>
  <si>
    <t>no activity in the deep chs (where's TH?) but good HC activity online. sparse IT spikes. possible visual drive</t>
  </si>
  <si>
    <t>4/9/2025</t>
  </si>
  <si>
    <t>03.35, 06.5</t>
  </si>
  <si>
    <t>00.05, -00.8</t>
  </si>
  <si>
    <t>Bourg was very sleepy. separate areas of activity for HC and TH, possible visual drive in TH -- good spikes. where are IT spikes?</t>
  </si>
  <si>
    <t>4/11/2025</t>
  </si>
  <si>
    <t>E6_01</t>
  </si>
  <si>
    <t xml:space="preserve">activitty similar to last recording in this location. three to four areas of spikes. </t>
  </si>
  <si>
    <t>4/14/2025</t>
  </si>
  <si>
    <t>activity again similar, possibly more IT spikes online</t>
  </si>
  <si>
    <t>4/15/2025</t>
  </si>
  <si>
    <t>much stronger viual responses in yesterday's data. running E6 again to see if the activity holds up. good spikes overall.</t>
  </si>
  <si>
    <t>4/16/2025</t>
  </si>
  <si>
    <t>P57</t>
  </si>
  <si>
    <t>00.5, 07.7</t>
  </si>
  <si>
    <t>00.5, -00.8</t>
  </si>
  <si>
    <t xml:space="preserve">spikes throughout the entire probe, up to ~ch370 -- this is where first spikes came in so it wouldn't be worth recording in long probe config. a lot of high activity. good visual drive too </t>
  </si>
  <si>
    <t>4/17/2025</t>
  </si>
  <si>
    <t>P58</t>
  </si>
  <si>
    <t>E7_01, day 1</t>
  </si>
  <si>
    <t xml:space="preserve">***started recording a short mapping clip in long probe configuration. will run this on days where I record in short probe going forward***; good activity throughout the probe, similar to yesterday's patterns. data from yesterday shows high vidsual responses to scenes and faces in superficial chs </t>
  </si>
  <si>
    <t>4/18/2025</t>
  </si>
  <si>
    <t>P59</t>
  </si>
  <si>
    <t>E7_01, day 2</t>
  </si>
  <si>
    <t>I think I started a little deeper than dura; clear visual drive and similar strong activity as previous days. didn't get extra trials since he was so sleepy</t>
  </si>
  <si>
    <t>4/21/2025</t>
  </si>
  <si>
    <t>P60</t>
  </si>
  <si>
    <t>E6_05</t>
  </si>
  <si>
    <t xml:space="preserve">strong activity continues thoughout the probe. clear visual drive </t>
  </si>
  <si>
    <t>4/23/2025</t>
  </si>
  <si>
    <t>P61</t>
  </si>
  <si>
    <t>seeing similar activity again with clear visual drive, lots of spikes. high selectivity for old man in superficial chs</t>
  </si>
  <si>
    <t>4/24/2025</t>
  </si>
  <si>
    <t>03.7, 06.8</t>
  </si>
  <si>
    <t>00.7, -00.5</t>
  </si>
  <si>
    <t>three separate areas of activity and possible visual drive in deep and mid chs. deepest chs in subiculum? mid in hc?</t>
  </si>
  <si>
    <t>4/25/2025</t>
  </si>
  <si>
    <t>44.8</t>
  </si>
  <si>
    <t>three (or four?) separate groups of spikes. possible visual drive in the lower chs. may be in Ent or Prh at the deepest chs. weak superficial IT</t>
  </si>
  <si>
    <t>4/29/2025</t>
  </si>
  <si>
    <t>40.1</t>
  </si>
  <si>
    <t>first 50 degree recording. good atcivity in the deepest chs, spare spikes elsewhere. visual drive?</t>
  </si>
  <si>
    <t>4/30/2025</t>
  </si>
  <si>
    <t>40.0</t>
  </si>
  <si>
    <t>E6_02</t>
  </si>
  <si>
    <t>similar activity compared to yesterday. finally saw visual responses in psth files ^^. visual drive in lower chs for scenes</t>
  </si>
  <si>
    <t>5/1/2025</t>
  </si>
  <si>
    <t xml:space="preserve">another session of similar activity. first spikes quieter? </t>
  </si>
  <si>
    <t>5/2/2025</t>
  </si>
  <si>
    <t>36.9</t>
  </si>
  <si>
    <t>more activity in the lower bank -- the section of deep spikes came in sooner and there's less of a gap in activity. visual drive?</t>
  </si>
  <si>
    <t>5/6/2025</t>
  </si>
  <si>
    <t>36.8</t>
  </si>
  <si>
    <t>E7_02, day 1</t>
  </si>
  <si>
    <t xml:space="preserve">great visual responses in the last recording. similar activity patterns today </t>
  </si>
  <si>
    <t>5/7/2025</t>
  </si>
  <si>
    <t>E7_02, day 2</t>
  </si>
  <si>
    <t xml:space="preserve">similar activity over all days recording at this location </t>
  </si>
  <si>
    <t>5/8/2025</t>
  </si>
  <si>
    <t>03.6, 06.7</t>
  </si>
  <si>
    <t>00.6, -00.6</t>
  </si>
  <si>
    <t>couldn't record at 3.7; the dura hardened after there was very minor bleeding yesterday. good activity and possible drive in the lower chs. a little sparser in the upper chs?</t>
  </si>
  <si>
    <t>5/9/2025</t>
  </si>
  <si>
    <t xml:space="preserve">similar activity persists. detectable visual drive </t>
  </si>
  <si>
    <t>5/12/2025</t>
  </si>
  <si>
    <t>52.6</t>
  </si>
  <si>
    <t>high activity in the lower bank and possible visual drive. smaller spikes in upper bank. three or four separate groups of activity. getting HC?</t>
  </si>
  <si>
    <t>5/13/2025</t>
  </si>
  <si>
    <t>E7_03, day 1</t>
  </si>
  <si>
    <t>similar activity again with highest concentration of spikes in lower bank. visual responses yesterday weren't amazing but better than what I got at 30 deg and 35 deg in this location</t>
  </si>
  <si>
    <t>5/14/2025</t>
  </si>
  <si>
    <t>E7_03, day 2</t>
  </si>
  <si>
    <t>similar agtivity again. decent responses to freeview in yesterday's recording</t>
  </si>
  <si>
    <t>5/15/2025</t>
  </si>
  <si>
    <t>03.25, 06.35</t>
  </si>
  <si>
    <t>00.25, -00.95</t>
  </si>
  <si>
    <t>36.7</t>
  </si>
  <si>
    <t>E7_04, day 1</t>
  </si>
  <si>
    <t>skipped mapping for this location; pretty good activity throughout. visual drive in upper chs and possibly lower</t>
  </si>
  <si>
    <t>5/16/2025</t>
  </si>
  <si>
    <t>E7_04, day 2</t>
  </si>
  <si>
    <t>similar activity. visual responses in yesterday's data look pretty good</t>
  </si>
  <si>
    <t xml:space="preserve">silastic replaced (H00) -- H01 temp seal with metabond </t>
  </si>
  <si>
    <t>7/24/2025</t>
  </si>
  <si>
    <t>P62</t>
  </si>
  <si>
    <t>E6_16</t>
  </si>
  <si>
    <r>
      <rPr>
        <rFont val="Arial"/>
        <color theme="1"/>
      </rPr>
      <t xml:space="preserve">great activity after driving in throughout the probe. visual drive too. E6 now contains </t>
    </r>
    <r>
      <rPr>
        <rFont val="Arial"/>
        <b/>
        <color theme="1"/>
      </rPr>
      <t>RSVP77 -- includes top object rotations on z axis</t>
    </r>
  </si>
  <si>
    <t>7/25/2025</t>
  </si>
  <si>
    <t>P63</t>
  </si>
  <si>
    <t>forgot to change the dark file back to short probe config. good activity and drive throughout. spikes very early</t>
  </si>
  <si>
    <t>7/28/2025</t>
  </si>
  <si>
    <t>P64</t>
  </si>
  <si>
    <t>good activity and drive continues in this area. running this E6 for 4 days rather than 2</t>
  </si>
  <si>
    <t>7/29/2025</t>
  </si>
  <si>
    <t>P65</t>
  </si>
  <si>
    <t>good activity and drive continues</t>
  </si>
  <si>
    <t>7/30/2025</t>
  </si>
  <si>
    <t>P66</t>
  </si>
  <si>
    <t>activity not quite as strong(?) but still good</t>
  </si>
  <si>
    <t>8/1/2025</t>
  </si>
  <si>
    <t>P67</t>
  </si>
  <si>
    <t>E6_17</t>
  </si>
  <si>
    <r>
      <rPr>
        <rFont val="Arial"/>
        <color theme="1"/>
      </rPr>
      <t xml:space="preserve">good activity; denser spikes in the lower half of the first bank; visual drive; </t>
    </r>
    <r>
      <rPr>
        <rFont val="Arial"/>
        <b/>
        <color theme="1"/>
      </rPr>
      <t>now RSVP 82 -- added objects B and C rotating with object A</t>
    </r>
  </si>
  <si>
    <t>8/4/2025</t>
  </si>
  <si>
    <t>P68</t>
  </si>
  <si>
    <t>activitiy persists; similar patterns to previous recording</t>
  </si>
  <si>
    <t>8/5/2025</t>
  </si>
  <si>
    <t>P69</t>
  </si>
  <si>
    <t>good activty continues. visual drive in superficial chs. slightly less activity today?</t>
  </si>
  <si>
    <t>8/6/2025</t>
  </si>
  <si>
    <t>P70</t>
  </si>
  <si>
    <t>activity remained stable</t>
  </si>
  <si>
    <t>8/7/2025</t>
  </si>
  <si>
    <t>P71</t>
  </si>
  <si>
    <t xml:space="preserve">going back to this location for a delayed day 6 of testing </t>
  </si>
  <si>
    <t>8/8/2025</t>
  </si>
  <si>
    <t>P72</t>
  </si>
  <si>
    <t>good activity persists in this location</t>
  </si>
  <si>
    <t>8/12/2025</t>
  </si>
  <si>
    <t>P73</t>
  </si>
  <si>
    <t>8/15/2025</t>
  </si>
  <si>
    <t>P74</t>
  </si>
  <si>
    <t>E6_18</t>
  </si>
  <si>
    <t>decent activity in this area. visual drive detectable in upper and lower chs. no E0 done at these exact angles</t>
  </si>
  <si>
    <t>8/18/2025</t>
  </si>
  <si>
    <t>P75</t>
  </si>
  <si>
    <t>good activity. analyses from last recordning suggest more spikes and better visual drive at 40 and 10 compared to 35 and 10 deg.</t>
  </si>
  <si>
    <t>8/19/2025</t>
  </si>
  <si>
    <t>P76</t>
  </si>
  <si>
    <t>it took some time for activity levels to reach their peak -- looked good as time progressed</t>
  </si>
  <si>
    <t>8/20/2025</t>
  </si>
  <si>
    <t>P77</t>
  </si>
  <si>
    <t>good activity from the start of the session. clear visual drive continues</t>
  </si>
  <si>
    <t>8/21/2025</t>
  </si>
  <si>
    <t>P78</t>
  </si>
  <si>
    <t>good activity and visual drive still in this location</t>
  </si>
  <si>
    <t>8/22/2025</t>
  </si>
  <si>
    <t>P79</t>
  </si>
  <si>
    <t xml:space="preserve">small bleed while manually driving into dura. less activity after driving to final depth compared to previous days -- especially quiet in the deep channels. upper chs remained quieter </t>
  </si>
  <si>
    <t>8/25/2025</t>
  </si>
  <si>
    <t>P80</t>
  </si>
  <si>
    <t xml:space="preserve">much better acticity after the weekend </t>
  </si>
  <si>
    <t>8/26/2025*</t>
  </si>
  <si>
    <t>P81</t>
  </si>
  <si>
    <t>E10</t>
  </si>
  <si>
    <r>
      <rPr>
        <rFont val="Arial"/>
        <color theme="1"/>
      </rPr>
      <t xml:space="preserve">new task using stim from Ahana's task plus modified stim (identity, emotion, identity x emotion x position). </t>
    </r>
    <r>
      <rPr>
        <rFont val="Arial"/>
        <b/>
        <color theme="1"/>
        <u/>
      </rPr>
      <t>*very short session</t>
    </r>
    <r>
      <rPr>
        <rFont val="Arial"/>
        <color theme="1"/>
      </rPr>
      <t xml:space="preserve"> since Bourg started very late. will run day 2 tomorrow </t>
    </r>
  </si>
  <si>
    <t>8/27/2025</t>
  </si>
  <si>
    <t>P82</t>
  </si>
  <si>
    <t>much better performance from Bourgeois since he started on time. over 4200 trials total and good neural activity</t>
  </si>
  <si>
    <t>8/28/2025</t>
  </si>
  <si>
    <t>P83</t>
  </si>
  <si>
    <t>49.9</t>
  </si>
  <si>
    <t xml:space="preserve">nice activity in the area, similar to previous recordings here, though not seeing spikes at the superficial-most channels </t>
  </si>
  <si>
    <t>8/29/2025</t>
  </si>
  <si>
    <t>P84</t>
  </si>
  <si>
    <t>59.8</t>
  </si>
  <si>
    <t>consistent avtivity continues</t>
  </si>
  <si>
    <t>9/2/2025</t>
  </si>
  <si>
    <t>P85</t>
  </si>
  <si>
    <t>returning to posterior face patch for E10. strong activity throughout the lower 3/4ths of the probe; clear visual drive</t>
  </si>
  <si>
    <t>9/3/2025</t>
  </si>
  <si>
    <t>P86</t>
  </si>
  <si>
    <t>***compared to the previous recordings at this location, there was a new band of actvitiy that started around ch150 and spanned into more superficial channels. this was completely absent in the other recordings. high face selectivity so returning to rerun face expts*** another day of high activity</t>
  </si>
  <si>
    <t>9/4/2025</t>
  </si>
  <si>
    <t>P87</t>
  </si>
  <si>
    <t>E7_09, day 1</t>
  </si>
  <si>
    <t>good activity continues. pump noise present today</t>
  </si>
  <si>
    <t>9/5/2025</t>
  </si>
  <si>
    <t>P88</t>
  </si>
  <si>
    <t>E7_09, day 2</t>
  </si>
  <si>
    <t>good activity again. extra trials today and yesterday</t>
  </si>
  <si>
    <t>9/8/2025</t>
  </si>
  <si>
    <t>P89</t>
  </si>
  <si>
    <t>9/9/2025</t>
  </si>
  <si>
    <t>P90</t>
  </si>
  <si>
    <t>day 8 of this expt</t>
  </si>
  <si>
    <t>9/18/2025</t>
  </si>
  <si>
    <t>P91</t>
  </si>
  <si>
    <t>E9_practice</t>
  </si>
  <si>
    <t>9/19/2025</t>
  </si>
  <si>
    <t>P92</t>
  </si>
  <si>
    <t>9/22/2025</t>
  </si>
  <si>
    <t>P93</t>
  </si>
  <si>
    <t>E9_00</t>
  </si>
  <si>
    <t>9/23/2025</t>
  </si>
  <si>
    <t>P94</t>
  </si>
  <si>
    <r>
      <rPr>
        <rFont val="Arial"/>
        <color theme="1"/>
      </rPr>
      <t xml:space="preserve">better activity in this location comapred to yesterday's recording. </t>
    </r>
    <r>
      <rPr>
        <rFont val="Arial"/>
        <b/>
        <color theme="1"/>
      </rPr>
      <t>there later turned out to be a high amount of noise, especially at the end of the session. may not be able to use the long_cr_map file or the dk file (which was cut to 1 min)</t>
    </r>
  </si>
  <si>
    <t>9/24/2025</t>
  </si>
  <si>
    <t>P95</t>
  </si>
  <si>
    <t>E9_01</t>
  </si>
  <si>
    <t>good activity in the area. some noise while driving in but didn't have any further issues with the probe today</t>
  </si>
  <si>
    <t>9/25/2025</t>
  </si>
  <si>
    <t>P96</t>
  </si>
  <si>
    <t>similar activity compared to yesterday, stable performance</t>
  </si>
  <si>
    <t>9/26/2025</t>
  </si>
  <si>
    <t>P97</t>
  </si>
  <si>
    <t>00.0, 07.6</t>
  </si>
  <si>
    <t>49.8</t>
  </si>
  <si>
    <t>E9_02</t>
  </si>
  <si>
    <t>dense area of high activity + visually driven spikes in the mid- to upper-channels; not much of anything below this. his performance took a significant dip after the first block, likely due to how late he started today, so I stopped him early. probably want to run a day 3 here. record E0 here at a later date</t>
  </si>
  <si>
    <t>9/29/2025</t>
  </si>
  <si>
    <t>P98</t>
  </si>
  <si>
    <t>much better performance, great activity persists</t>
  </si>
  <si>
    <t>9/30/2025</t>
  </si>
  <si>
    <t>P99</t>
  </si>
  <si>
    <t xml:space="preserve">another solid perforance, activity similar </t>
  </si>
  <si>
    <t>10/2/2025</t>
  </si>
  <si>
    <t>P100</t>
  </si>
  <si>
    <t>10/3/2025</t>
  </si>
  <si>
    <t>P101</t>
  </si>
  <si>
    <t>-00.2, 08.0</t>
  </si>
  <si>
    <t>-00.2, -00.5</t>
  </si>
  <si>
    <t>60.2</t>
  </si>
  <si>
    <t>E9_03</t>
  </si>
  <si>
    <t>good activity and drive in upper/mid probe. bourg refused to calibrate but did fine on task, until he got very sleepy during the last block</t>
  </si>
  <si>
    <t>10/6/2025</t>
  </si>
  <si>
    <t>P102</t>
  </si>
  <si>
    <t>10/8/2025</t>
  </si>
  <si>
    <t>P103</t>
  </si>
  <si>
    <t>shorter session, had to start him late due to technical difficulties</t>
  </si>
  <si>
    <t>10/9/2025</t>
  </si>
  <si>
    <t>P104</t>
  </si>
  <si>
    <t>E12_00, day 1</t>
  </si>
  <si>
    <t>first nueral recording of Li/DiCarlo task. good neural activity in this location, Bourg did well on the task</t>
  </si>
  <si>
    <t>10/10/2025</t>
  </si>
  <si>
    <t>P105</t>
  </si>
  <si>
    <t>E12_00, day 2</t>
  </si>
  <si>
    <t>10/13/2025</t>
  </si>
  <si>
    <t>P106</t>
  </si>
  <si>
    <t>E12_01, day 1</t>
  </si>
  <si>
    <t>after a morning of social disruptions in the colony (waffles/sausage fighting) I couldn't get Bourgeois to do anything. will rerun the same set tomorrow since he didn't even make it to the first round of exposure trials</t>
  </si>
  <si>
    <t>10/14/2025</t>
  </si>
  <si>
    <t>P107</t>
  </si>
  <si>
    <t>E12_01, day 1 (redo)</t>
  </si>
  <si>
    <t>nice activity again in this area, throughout the probe. bourg refused to do calibration trials so i just made sure he was well-centered. he did just fine on the task itself</t>
  </si>
  <si>
    <t>10/15/2025</t>
  </si>
  <si>
    <t>P108</t>
  </si>
  <si>
    <t>E12_01, day 2</t>
  </si>
  <si>
    <t>nice performance, activity similar. visual drive clear</t>
  </si>
  <si>
    <t>10/16/2025</t>
  </si>
  <si>
    <t>P109</t>
  </si>
  <si>
    <t>E12_02, day 1</t>
  </si>
  <si>
    <t xml:space="preserve">great activity throughout probe, solid performance from bourg </t>
  </si>
  <si>
    <t>10/17/2025</t>
  </si>
  <si>
    <t>P110</t>
  </si>
  <si>
    <t>E12_02, day2</t>
  </si>
  <si>
    <t>similar to yesterday's recording</t>
  </si>
  <si>
    <t>10/20/2025</t>
  </si>
  <si>
    <t>P111</t>
  </si>
  <si>
    <t>E7_10, day 1</t>
  </si>
  <si>
    <r>
      <rPr>
        <rFont val="Arial"/>
        <color theme="1"/>
      </rPr>
      <t>updated version of E7 --&gt; DEFrsvp17, dropped calib3x3 trials. decent activity again in this area.  ignore the first</t>
    </r>
    <r>
      <rPr>
        <rFont val="Arial"/>
        <b/>
        <color theme="1"/>
      </rPr>
      <t xml:space="preserve"> ~75 trials of freeview for 2UVW</t>
    </r>
    <r>
      <rPr>
        <rFont val="Arial"/>
        <color theme="1"/>
      </rPr>
      <t xml:space="preserve"> → the scenefile wasn’t updated from the past session. All other trials after this are fine. All new E7s after this will have the same setup unless otherwise specified </t>
    </r>
  </si>
  <si>
    <t>10/21/2025</t>
  </si>
  <si>
    <t>P112</t>
  </si>
  <si>
    <t>E7_10, day 2</t>
  </si>
  <si>
    <t>better activity today</t>
  </si>
  <si>
    <t>10/22/2025</t>
  </si>
  <si>
    <t>P113</t>
  </si>
  <si>
    <t>E7_11, day 1</t>
  </si>
  <si>
    <t>nice high activity and visual drive</t>
  </si>
  <si>
    <t>10/23/2025</t>
  </si>
  <si>
    <t>P114</t>
  </si>
  <si>
    <t>E7_11, day 2</t>
  </si>
  <si>
    <t>good activity continues</t>
  </si>
  <si>
    <t>10/28/2025</t>
  </si>
  <si>
    <t>P115</t>
  </si>
  <si>
    <t>59.7</t>
  </si>
  <si>
    <t>E7_12, day 1</t>
  </si>
  <si>
    <t>good activity for this location</t>
  </si>
  <si>
    <t>10/29/2025</t>
  </si>
  <si>
    <t>P116</t>
  </si>
  <si>
    <t>E7_12, day 2</t>
  </si>
  <si>
    <t>good activity persists, visual drive</t>
  </si>
  <si>
    <t>10/30/2025</t>
  </si>
  <si>
    <t>P117</t>
  </si>
  <si>
    <t>E11</t>
  </si>
  <si>
    <t>first day of E11, pretty good performance from Bourg given he saw all new stim. activity still holding stong here</t>
  </si>
  <si>
    <t>10/31/2025</t>
  </si>
  <si>
    <t>P118</t>
  </si>
  <si>
    <t>activtiy still stable in this area</t>
  </si>
  <si>
    <t>11/07/2025</t>
  </si>
  <si>
    <t>P119</t>
  </si>
  <si>
    <t>DK's first recording session alone; extremely pronounced pump noise audible/visible in SpikeGLX on nearly every trial</t>
  </si>
  <si>
    <t>11/11/2025</t>
  </si>
  <si>
    <t>P120</t>
  </si>
  <si>
    <t>Started late; Bourg very sleepy and only got about halfway through trials before DK ended session early; once again extremely pronounced pump noise; photodiode rise time consistently ~31 despite restarting Chromium multiple times; due to large E11 imageset loaded in GPU memory?; MISTAKENLY RECORDED IN LONG CONFIGURATION, BANK 1 LIKELY OUT OF BRAIN</t>
  </si>
  <si>
    <t>11/12/2025</t>
  </si>
  <si>
    <t>P121</t>
  </si>
  <si>
    <t>Once again extremely pronounced pump noise; photodiode rise time down to ~16 after restarting computer (cf. yesterday), but then back up to ~30 by automator stage 4; necessary to restart computer every day? ONCE AGAIN MISTAKENLY RECORDED IN LONG CONFIGURATION, BANK 1 LIKELY OUT OF BRAIN</t>
  </si>
  <si>
    <t>11/13/2025</t>
  </si>
  <si>
    <t>P122</t>
  </si>
  <si>
    <t>Another E11 in same location as yesterday, but this time in short configuration after mistakenly using long config previous two sessions; started task earlier than usual (~1130), but Bourg still surprisingly dozy by early afternoon; picked up mild second wind by around 1400 or so and finished all trials in automator; pump noise much less than yesterday, barely audible at all</t>
  </si>
  <si>
    <t>11/14/2025</t>
  </si>
  <si>
    <t>P123</t>
  </si>
  <si>
    <t>Running E11 in same location as 20250926; similar to before, observed high activity in mid- to upper-channels but very little deep; extremely strong, widespread activity when inserting probe. Started late (~1400) due to light fixture repairs in booth M; Bourgeois very sleepy, only completed about half of automator blocks. Received data write error from SpikeGLX around 1745, probably b/c forgot to empty out recycling bin after deleting local copy of yesterday's data; emptied recycle bin shortly after receiving error message and continued recording; no more error messages thereafter</t>
  </si>
  <si>
    <t>11/17/2025</t>
  </si>
  <si>
    <t>P124</t>
  </si>
  <si>
    <t>Started late, DK angling probe horizontally for first time; withdrew probe after beginning to insert upon realizing it wasn't grounded properly; noticed some blood under silastic during re-insertion; mild inflammation around right posterior implant margin; first spikes ~2320 um; decent amount of spiking in mid-upper probe; Bourg to sleepy to do many more trials by 1900, ended session at automator stage 5</t>
  </si>
  <si>
    <t>11/18/2025</t>
  </si>
  <si>
    <t>P125</t>
  </si>
  <si>
    <t>E7_13, day 1</t>
  </si>
  <si>
    <t>Revisiting same location in case anything changed re: ballroom following prior round of E7b exposures; activity weaker than yesterday; Bourgeois sleepy</t>
  </si>
  <si>
    <t>11/19/2025</t>
  </si>
  <si>
    <t>P126</t>
  </si>
  <si>
    <t>E7_13, day 2</t>
  </si>
  <si>
    <t>Running in same location as yesterday; more activity along prove than yesterday, but also much larger pump noise; Bourg sleepy, hardly doing any more trials by middle/end of automator block 5; stopped session around 1845</t>
  </si>
  <si>
    <t>11/20/2025</t>
  </si>
  <si>
    <t>P127</t>
  </si>
  <si>
    <t>E7_14, day 1</t>
  </si>
  <si>
    <t xml:space="preserve">Noticed some new bleeding under silastic upon withdrawing probe back to dura after testing if it could go through. Difficult to tell at what depth first spikes appeared due to massive transients correlated across dozens of channels during probe insertion. Strong activity and visual drive across mid-upper probe, though Bourgeois again surprisingly sleepy despite starting automator reasonably early (~1330). Nevertheless, finished full automator today. Also notably, some channels exhibited extremely clear saccade-locked bursting activity </t>
  </si>
  <si>
    <t>11/21/2025</t>
  </si>
  <si>
    <t>P128</t>
  </si>
  <si>
    <t>E7_14, day 2</t>
  </si>
  <si>
    <t>First spikes somewhere btw. 500-1000 um, not sure exactly where b/c monitoring probe insertion during this period; seemed much queiter during insertion than same location yesterday. Bourgeois already falling asleep by automator block 1 despite beginning ~1230; alertness, activity on probe picked up quite a bit as session wore on, especially in mid probe; performing very strongly by ~1400. Received file write error from SpikeGLX around 1420; realized I'd forgotten to delete yesterday's files; stopped MkTurk, restarted SpikeGLX, and re-started MkTurk at automator stage 4</t>
  </si>
  <si>
    <t>11/24/2025</t>
  </si>
  <si>
    <t>P129</t>
  </si>
  <si>
    <t>E7_15, day 1</t>
  </si>
  <si>
    <t xml:space="preserve">Noticed new bleeding under silastic upon inserting probe. First spikes ~1924 um. Lots of spiking in lower-mid probe. Intended to record at 4800 um but reglected to drive final 400 um after pausing at 4400 um to ensure probe wasn't bending </t>
  </si>
  <si>
    <t>11/25/2025</t>
  </si>
  <si>
    <t>P130</t>
  </si>
  <si>
    <t>E7_15, day 2</t>
  </si>
  <si>
    <t>Adjusted probe insertion point up 79 um from calculated target to reduce bending upon insertion into silastic hole from yesterday. Lots of spiking in mid-probe. Accidentally began session with 600 objaverse trials after failing to hit "update" in Bourgeois_params.json; manually adjusted automator stage and re-started MkTurk</t>
  </si>
  <si>
    <t>11/26/2025</t>
  </si>
  <si>
    <t>P131</t>
  </si>
  <si>
    <t>-00.7, 08.1</t>
  </si>
  <si>
    <t>Recording a bit anterior to previously-identified face-responsive area at AP-0.8, DV08.1 (e.g. see 20250908). Started a bit early to get Bourg out of L5 satellite colony room before additional cages brought up from SC2 by ICM; chaired Bourg ~0845. Decent spiking in lower-mid probe. Session split into 2 recordings bc forgot to empty recycle bin of yesterday's data and ran out of space on hard drive; stopped SpikeGLX ~1354. Noticed photdiode rise time increase to ~33 at some point; stopped MkTurk, restarted Chromium, and restarted MkTurk</t>
  </si>
  <si>
    <t>expt</t>
  </si>
  <si>
    <t>angs</t>
  </si>
  <si>
    <t># sessions</t>
  </si>
  <si>
    <t>E9 (active CD)</t>
  </si>
  <si>
    <t>50.0V, 10.0H</t>
  </si>
  <si>
    <t>E9</t>
  </si>
  <si>
    <t>change detection</t>
  </si>
  <si>
    <t>DONE n=5</t>
  </si>
  <si>
    <t>50.0V, 0H</t>
  </si>
  <si>
    <t>identity/emotion</t>
  </si>
  <si>
    <t>60.0V, 0H</t>
  </si>
  <si>
    <t>Sreyas scenes</t>
  </si>
  <si>
    <t>E12</t>
  </si>
  <si>
    <t>Li DiCarlo</t>
  </si>
  <si>
    <t>60.0H, 0V</t>
  </si>
  <si>
    <t>E10 (face)</t>
  </si>
  <si>
    <t>1 more</t>
  </si>
  <si>
    <t>(face patch)</t>
  </si>
  <si>
    <t>E11 (objaverse)</t>
  </si>
  <si>
    <t>00.5, 7.7</t>
  </si>
  <si>
    <t>50.0V, 10V</t>
  </si>
  <si>
    <t>E12 (Li DiCarlo)</t>
  </si>
  <si>
    <t>DONE n=3</t>
  </si>
  <si>
    <t>E7b (ballroom)</t>
  </si>
  <si>
    <t>5 locs x 2 per</t>
  </si>
  <si>
    <t>probe #</t>
  </si>
  <si>
    <t>Data &gt; West &gt; Saved_Images &gt;</t>
  </si>
  <si>
    <t>08/28/2023</t>
  </si>
  <si>
    <t>00.0, 08.0</t>
  </si>
  <si>
    <t>4800</t>
  </si>
  <si>
    <t>91.0</t>
  </si>
  <si>
    <t>first recording session / test run</t>
  </si>
  <si>
    <t>08/30/2023</t>
  </si>
  <si>
    <t>00.0, -00.5</t>
  </si>
  <si>
    <t>5000</t>
  </si>
  <si>
    <r>
      <rPr>
        <rFont val="Arial"/>
        <color theme="1"/>
      </rPr>
      <t xml:space="preserve">neural set </t>
    </r>
    <r>
      <rPr>
        <rFont val="Arial"/>
        <b/>
        <color theme="1"/>
      </rPr>
      <t>2</t>
    </r>
  </si>
  <si>
    <t>08/31/2023</t>
  </si>
  <si>
    <t>00.5, 07.5</t>
  </si>
  <si>
    <t>00.5, -00.5</t>
  </si>
  <si>
    <t>5600</t>
  </si>
  <si>
    <r>
      <rPr>
        <rFont val="Arial"/>
        <color theme="1"/>
      </rPr>
      <t xml:space="preserve">neural set </t>
    </r>
    <r>
      <rPr>
        <rFont val="Arial"/>
        <b/>
        <color theme="1"/>
      </rPr>
      <t xml:space="preserve">2, </t>
    </r>
    <r>
      <rPr>
        <rFont val="Arial"/>
        <color theme="1"/>
      </rPr>
      <t xml:space="preserve">started breaking trials into sets of 200 blocks after realizing sensor isses when duplicate scenebags/images are loaded into task params </t>
    </r>
  </si>
  <si>
    <t>09/08/2023</t>
  </si>
  <si>
    <t>00.2, 07.0</t>
  </si>
  <si>
    <t>00.2, -01.0</t>
  </si>
  <si>
    <t>5800</t>
  </si>
  <si>
    <t>90.2</t>
  </si>
  <si>
    <t>ran out of space on drive, errors and missing files</t>
  </si>
  <si>
    <t>09/11/2023</t>
  </si>
  <si>
    <t>00.0, 00.5</t>
  </si>
  <si>
    <t>4100</t>
  </si>
  <si>
    <t>activity in two zones and spanning most channels on probe from 1-330</t>
  </si>
  <si>
    <t>09/12/2023</t>
  </si>
  <si>
    <t>00.5, 00.5</t>
  </si>
  <si>
    <t>4300</t>
  </si>
  <si>
    <t xml:space="preserve">recording without silastic; penetration + task recordings are in the same files </t>
  </si>
  <si>
    <t>09/13/2023</t>
  </si>
  <si>
    <t>-00.5, 07.5</t>
  </si>
  <si>
    <t>-00.5, -00.5</t>
  </si>
  <si>
    <t>Continuous band of activity from ch0-315 with bands of higher activity from 0 to approx. 80 and 100 to approx. 225</t>
  </si>
  <si>
    <t>09/14/2023</t>
  </si>
  <si>
    <t>-00.5, 07.1</t>
  </si>
  <si>
    <t>6000</t>
  </si>
  <si>
    <t>maybe</t>
  </si>
  <si>
    <t>seems to be high vis drive in channels 335-345</t>
  </si>
  <si>
    <t>09/15/2023</t>
  </si>
  <si>
    <t>00.5, 07.1</t>
  </si>
  <si>
    <t>00.5, -00.9</t>
  </si>
  <si>
    <t>90.4</t>
  </si>
  <si>
    <t>recording hippocampus, Dmitriy &amp; Hannah observed</t>
  </si>
  <si>
    <t>09/18/2023</t>
  </si>
  <si>
    <t>-01.0, 08.0</t>
  </si>
  <si>
    <t>-01.0, 00.0</t>
  </si>
  <si>
    <t>5500</t>
  </si>
  <si>
    <t>90.5</t>
  </si>
  <si>
    <t>**** Major Note: When we pulled out the electrode, is was very far from the expected touch location in silastic (it was completely out of the silastic). Turns out that the dovetail bar was not secured tightly so it was rotating in place. So as it rotated away from the electrode, the eye was drifting left and the electrode was pulling out. Estimate is at least a few hundred microns of motion but did not think to measure precisely with manipulator. As far as the probe, it seemed to be under 1mm of shift, but since activity became very weak was hard to be sure. ****</t>
  </si>
  <si>
    <t>9/19/2023</t>
  </si>
  <si>
    <t>-00.9, 07.5</t>
  </si>
  <si>
    <t>-00.9, -00.5</t>
  </si>
  <si>
    <t>5200</t>
  </si>
  <si>
    <t>channels around 40-60 seem to be more responsive to the ballroom scene</t>
  </si>
  <si>
    <t>09/20/2023</t>
  </si>
  <si>
    <t>-00.9, 08.5</t>
  </si>
  <si>
    <t>-00.9, 00.5</t>
  </si>
  <si>
    <t>4700</t>
  </si>
  <si>
    <t>90.8</t>
  </si>
  <si>
    <r>
      <rPr>
        <rFont val="Arial"/>
        <color theme="1"/>
      </rPr>
      <t xml:space="preserve">first day running neural set </t>
    </r>
    <r>
      <rPr>
        <rFont val="Arial"/>
        <b/>
        <color theme="1"/>
      </rPr>
      <t xml:space="preserve">4; </t>
    </r>
    <r>
      <rPr>
        <rFont val="Arial"/>
        <color theme="1"/>
      </rPr>
      <t>uncovered large pool of blood under cap, which we suspect came form interior margin</t>
    </r>
  </si>
  <si>
    <t>09/21/2023</t>
  </si>
  <si>
    <t>00.9, 08.5</t>
  </si>
  <si>
    <t>00.9, 00.5</t>
  </si>
  <si>
    <t>4600</t>
  </si>
  <si>
    <t>har</t>
  </si>
  <si>
    <r>
      <rPr>
        <rFont val="Arial"/>
        <color theme="1"/>
      </rPr>
      <t xml:space="preserve">first day running </t>
    </r>
    <r>
      <rPr>
        <rFont val="Arial"/>
        <b/>
        <color theme="1"/>
      </rPr>
      <t>hex 1ABC60/2DEF60</t>
    </r>
  </si>
  <si>
    <t>09/22/2023</t>
  </si>
  <si>
    <t>01.0, 08.0</t>
  </si>
  <si>
    <t>90.9</t>
  </si>
  <si>
    <r>
      <rPr>
        <rFont val="Arial"/>
        <color theme="1"/>
      </rPr>
      <t xml:space="preserve">first day running </t>
    </r>
    <r>
      <rPr>
        <rFont val="Arial"/>
        <b/>
        <color theme="1"/>
      </rPr>
      <t>freeview</t>
    </r>
    <r>
      <rPr>
        <rFont val="Arial"/>
        <color theme="1"/>
      </rPr>
      <t xml:space="preserve"> </t>
    </r>
    <r>
      <rPr>
        <rFont val="Arial"/>
        <b/>
        <color theme="1"/>
      </rPr>
      <t xml:space="preserve">ABC2_3000/DEF2_3000 </t>
    </r>
  </si>
  <si>
    <t>09/25/2023</t>
  </si>
  <si>
    <t>01.0, 07.5</t>
  </si>
  <si>
    <t>01.0, -00.5</t>
  </si>
  <si>
    <r>
      <rPr>
        <rFont val="Arial"/>
        <color theme="1"/>
      </rPr>
      <t xml:space="preserve">penetration recording enabled at 1000mm depth; low whistling noise present 4100-4500, possibly pushing through a ventricle; neural stim </t>
    </r>
    <r>
      <rPr>
        <rFont val="Arial"/>
        <b/>
        <color theme="1"/>
      </rPr>
      <t>4</t>
    </r>
  </si>
  <si>
    <t>09/27/2023</t>
  </si>
  <si>
    <t>5900</t>
  </si>
  <si>
    <t>L0</t>
  </si>
  <si>
    <r>
      <rPr>
        <rFont val="Arial"/>
        <color theme="1"/>
      </rPr>
      <t xml:space="preserve">start of </t>
    </r>
    <r>
      <rPr>
        <rFont val="Arial"/>
        <b/>
        <color theme="1"/>
      </rPr>
      <t xml:space="preserve">training </t>
    </r>
    <r>
      <rPr>
        <rFont val="Arial"/>
        <color theme="1"/>
      </rPr>
      <t xml:space="preserve">on neural set </t>
    </r>
    <r>
      <rPr>
        <rFont val="Arial"/>
        <b/>
        <color theme="1"/>
      </rPr>
      <t>5_00</t>
    </r>
  </si>
  <si>
    <t>Saved_Images_West_neural_stim_5_00</t>
  </si>
  <si>
    <t>9/28/2023</t>
  </si>
  <si>
    <t>----</t>
  </si>
  <si>
    <t xml:space="preserve">**first day with unusually high levels of noise**; whistling began around 2500 and proceeded to worsen, could not run West </t>
  </si>
  <si>
    <t>10/01/2023</t>
  </si>
  <si>
    <t>6500</t>
  </si>
  <si>
    <t>encountered noise issues at 7.1 so retracted and relocated to 7.4</t>
  </si>
  <si>
    <t>00.5, 07.4 (07.35)</t>
  </si>
  <si>
    <t>00.5, -00.6</t>
  </si>
  <si>
    <t>L1</t>
  </si>
  <si>
    <t>encountered noise issues at 7.1 so retracted and relocated to 7.4; noise reduced but whistling still present in some channels</t>
  </si>
  <si>
    <t>10/02/2023</t>
  </si>
  <si>
    <t>L2</t>
  </si>
  <si>
    <r>
      <rPr>
        <rFont val="Arial"/>
        <color theme="1"/>
      </rPr>
      <t xml:space="preserve">start of </t>
    </r>
    <r>
      <rPr>
        <rFont val="Arial"/>
        <b/>
        <color theme="1"/>
      </rPr>
      <t>testing</t>
    </r>
    <r>
      <rPr>
        <rFont val="Arial"/>
        <color theme="1"/>
      </rPr>
      <t xml:space="preserve"> on neural set </t>
    </r>
    <r>
      <rPr>
        <rFont val="Arial"/>
        <b/>
        <color theme="1"/>
      </rPr>
      <t xml:space="preserve">5_00; </t>
    </r>
    <r>
      <rPr>
        <rFont val="Arial"/>
        <color theme="1"/>
      </rPr>
      <t>high noise, reduced at 5500</t>
    </r>
  </si>
  <si>
    <t>10/03/2023</t>
  </si>
  <si>
    <t>L3</t>
  </si>
  <si>
    <t>noise present throughout probe, esp at tip</t>
  </si>
  <si>
    <t>10/04/2023</t>
  </si>
  <si>
    <t>00.3, 07.3</t>
  </si>
  <si>
    <t>00.3, -00.7</t>
  </si>
  <si>
    <t>5700</t>
  </si>
  <si>
    <r>
      <rPr>
        <rFont val="Arial"/>
        <color theme="1"/>
      </rPr>
      <t xml:space="preserve">start of </t>
    </r>
    <r>
      <rPr>
        <rFont val="Arial"/>
        <b/>
        <color theme="1"/>
      </rPr>
      <t xml:space="preserve">training </t>
    </r>
    <r>
      <rPr>
        <rFont val="Arial"/>
        <color theme="1"/>
      </rPr>
      <t xml:space="preserve">on neural set </t>
    </r>
    <r>
      <rPr>
        <rFont val="Arial"/>
        <b/>
        <color theme="1"/>
      </rPr>
      <t xml:space="preserve">5_01; </t>
    </r>
    <r>
      <rPr>
        <rFont val="Arial"/>
        <color theme="1"/>
      </rPr>
      <t xml:space="preserve">noise when retracting </t>
    </r>
  </si>
  <si>
    <t>Saved_Images_West_neural_stim_5_01</t>
  </si>
  <si>
    <t>10/05/2023</t>
  </si>
  <si>
    <t xml:space="preserve">sample command did not send for first half of trials; high pitched noise present </t>
  </si>
  <si>
    <t>10/06/2023</t>
  </si>
  <si>
    <t>90.3</t>
  </si>
  <si>
    <t xml:space="preserve">lots of noise throughout probe (60 Hz), retracted, no task recordings </t>
  </si>
  <si>
    <t>4000</t>
  </si>
  <si>
    <t>new probe test; no task recordings, just went in and out</t>
  </si>
  <si>
    <t>10/09/2023</t>
  </si>
  <si>
    <t>5800; 7200</t>
  </si>
  <si>
    <r>
      <rPr>
        <rFont val="Arial"/>
        <color theme="1"/>
      </rPr>
      <t xml:space="preserve">first full recording session with new probe. started </t>
    </r>
    <r>
      <rPr>
        <rFont val="Arial"/>
        <b/>
        <color theme="1"/>
      </rPr>
      <t>testing</t>
    </r>
    <r>
      <rPr>
        <rFont val="Arial"/>
        <color theme="1"/>
      </rPr>
      <t xml:space="preserve"> on neural set </t>
    </r>
    <r>
      <rPr>
        <rFont val="Arial"/>
        <b/>
        <color theme="1"/>
      </rPr>
      <t xml:space="preserve">5_01; </t>
    </r>
    <r>
      <rPr>
        <rFont val="Arial"/>
        <color theme="1"/>
      </rPr>
      <t>drove further through hippocampus after training, potentially reached medial cortex</t>
    </r>
  </si>
  <si>
    <t>10/10/2023</t>
  </si>
  <si>
    <t>removed head ground @ 2500 during penetration; ***noise present in some channels when reward screen is on***</t>
  </si>
  <si>
    <t>10/11/2023</t>
  </si>
  <si>
    <r>
      <rPr>
        <rFont val="Arial"/>
        <color theme="1"/>
      </rPr>
      <t xml:space="preserve">start of </t>
    </r>
    <r>
      <rPr>
        <rFont val="Arial"/>
        <b/>
        <color theme="1"/>
      </rPr>
      <t>training</t>
    </r>
    <r>
      <rPr>
        <rFont val="Arial"/>
        <color theme="1"/>
      </rPr>
      <t xml:space="preserve"> on neural set </t>
    </r>
    <r>
      <rPr>
        <rFont val="Arial"/>
        <b/>
        <color theme="1"/>
      </rPr>
      <t xml:space="preserve">5_02, </t>
    </r>
    <r>
      <rPr>
        <rFont val="Arial"/>
        <color theme="1"/>
      </rPr>
      <t xml:space="preserve">recording from area of cortex where we've previously seen high activity </t>
    </r>
  </si>
  <si>
    <t>Saved_Images_West_neural_stim_5_02</t>
  </si>
  <si>
    <t>10/12/2023</t>
  </si>
  <si>
    <t>high activity throughout probe</t>
  </si>
  <si>
    <t>10/13/2023</t>
  </si>
  <si>
    <t>6000; 7100</t>
  </si>
  <si>
    <r>
      <rPr>
        <rFont val="Arial"/>
        <color theme="1"/>
      </rPr>
      <t xml:space="preserve">start of </t>
    </r>
    <r>
      <rPr>
        <rFont val="Arial"/>
        <b/>
        <color theme="1"/>
      </rPr>
      <t xml:space="preserve">testing </t>
    </r>
    <r>
      <rPr>
        <rFont val="Arial"/>
        <color theme="1"/>
      </rPr>
      <t xml:space="preserve">neural set </t>
    </r>
    <r>
      <rPr>
        <rFont val="Arial"/>
        <b/>
        <color theme="1"/>
      </rPr>
      <t>5_02</t>
    </r>
    <r>
      <rPr>
        <rFont val="Arial"/>
        <color theme="1"/>
      </rPr>
      <t xml:space="preserve">; encountered a lot of noise during penetration, identified the pump as a source of noise and potentially a problem with SpikeGLX's filtering </t>
    </r>
  </si>
  <si>
    <t>10/16/2023</t>
  </si>
  <si>
    <r>
      <rPr>
        <rFont val="Arial"/>
        <color theme="1"/>
      </rPr>
      <t xml:space="preserve">trouble with noise again; eventually probe activity became stable. </t>
    </r>
    <r>
      <rPr>
        <rFont val="Arial"/>
        <b/>
        <color theme="1"/>
      </rPr>
      <t xml:space="preserve">Going forward, we will not record penetration, </t>
    </r>
    <r>
      <rPr>
        <rFont val="Arial"/>
        <color theme="1"/>
      </rPr>
      <t>at least not until we're conisistently getting clear signals.</t>
    </r>
  </si>
  <si>
    <t>10/17/2023</t>
  </si>
  <si>
    <t>-00.5, 08.0</t>
  </si>
  <si>
    <t>-00.5, 00.0</t>
  </si>
  <si>
    <t>5400; 7000</t>
  </si>
  <si>
    <r>
      <rPr>
        <rFont val="Arial"/>
        <color theme="1"/>
      </rPr>
      <t xml:space="preserve">neural set </t>
    </r>
    <r>
      <rPr>
        <rFont val="Arial"/>
        <b/>
        <color theme="1"/>
      </rPr>
      <t xml:space="preserve">4; </t>
    </r>
    <r>
      <rPr>
        <rFont val="Arial"/>
        <color theme="1"/>
      </rPr>
      <t>drove in probe with head ground off from the beginning; only minimal noise that resolved between 1000-1500; noise present with reward pulses</t>
    </r>
  </si>
  <si>
    <t>Saved_Images_West_neural_stim_4</t>
  </si>
  <si>
    <t>10/19/2023</t>
  </si>
  <si>
    <t>-00.5, 08.5</t>
  </si>
  <si>
    <t>-00.5, 00.5</t>
  </si>
  <si>
    <t>90.7</t>
  </si>
  <si>
    <r>
      <rPr>
        <rFont val="Arial"/>
        <color theme="1"/>
      </rPr>
      <t xml:space="preserve">neural set </t>
    </r>
    <r>
      <rPr>
        <rFont val="Arial"/>
        <b/>
        <color theme="1"/>
      </rPr>
      <t xml:space="preserve">4; </t>
    </r>
    <r>
      <rPr>
        <rFont val="Arial"/>
        <color theme="1"/>
      </rPr>
      <t xml:space="preserve">most activity in clustered areas around middle and upper portion of probe (little activity at tip), with large gaps of no/low activity in between; activity increased in the upper channels over time, activity remained low from ch0-100 --- update: Probably could have stopped somewhere around 4500 rather than continue to 5000 based on the activity during retraction, but oddly there was a lack of activity in the back channels during the penetration that, as mentioned above, only appeared after the task started </t>
    </r>
  </si>
  <si>
    <t>10/20/2023</t>
  </si>
  <si>
    <t>00.5, 08.0</t>
  </si>
  <si>
    <t>4900</t>
  </si>
  <si>
    <r>
      <rPr>
        <rFont val="Arial"/>
        <color theme="1"/>
      </rPr>
      <t xml:space="preserve">neural set </t>
    </r>
    <r>
      <rPr>
        <rFont val="Arial"/>
        <b/>
        <color theme="1"/>
      </rPr>
      <t>4</t>
    </r>
    <r>
      <rPr>
        <rFont val="Arial"/>
        <color theme="1"/>
      </rPr>
      <t xml:space="preserve">; most activity in the middle portion of the probe; visual drive </t>
    </r>
  </si>
  <si>
    <t>10/23/2023</t>
  </si>
  <si>
    <t>00.0, 08.8</t>
  </si>
  <si>
    <t>00.0, 00.8</t>
  </si>
  <si>
    <t>4600; 6500</t>
  </si>
  <si>
    <r>
      <rPr>
        <rFont val="Arial"/>
        <color theme="1"/>
      </rPr>
      <t xml:space="preserve">neural set </t>
    </r>
    <r>
      <rPr>
        <rFont val="Arial"/>
        <b/>
        <color theme="1"/>
      </rPr>
      <t xml:space="preserve">4; </t>
    </r>
    <r>
      <rPr>
        <rFont val="Arial"/>
        <color theme="1"/>
      </rPr>
      <t>08.8 was the highest DV we could hit as bone started growing above this area; drove to 6500, started to get spikes from hippocampus @ 5600</t>
    </r>
  </si>
  <si>
    <t>10/24/2023</t>
  </si>
  <si>
    <t>4 probe test without silastic</t>
  </si>
  <si>
    <t>single probe test without silastic</t>
  </si>
  <si>
    <t>10/25/2023</t>
  </si>
  <si>
    <t>6100</t>
  </si>
  <si>
    <t>E2 (1st day)</t>
  </si>
  <si>
    <r>
      <rPr>
        <rFont val="Arial"/>
        <color theme="1"/>
      </rPr>
      <t xml:space="preserve">new stim set; foveal </t>
    </r>
    <r>
      <rPr>
        <rFont val="Arial"/>
        <b/>
        <color theme="1"/>
      </rPr>
      <t>faces</t>
    </r>
    <r>
      <rPr>
        <rFont val="Arial"/>
        <color theme="1"/>
      </rPr>
      <t xml:space="preserve">, foveal </t>
    </r>
    <r>
      <rPr>
        <rFont val="Arial"/>
        <b/>
        <color theme="1"/>
      </rPr>
      <t xml:space="preserve">2D images; </t>
    </r>
    <r>
      <rPr>
        <rFont val="Arial"/>
        <color theme="1"/>
      </rPr>
      <t xml:space="preserve">returned to area with hippocampal access; did not see evidence of penetrating dura on spikeGLX until 400u in </t>
    </r>
  </si>
  <si>
    <t>Saved_Images_West_neural_stim_RustDiCarlo_NaturalImages</t>
  </si>
  <si>
    <t>10/26/2023</t>
  </si>
  <si>
    <r>
      <rPr>
        <rFont val="Arial"/>
        <color theme="1"/>
      </rPr>
      <t>same task as previous day, same location; lowered fixation window from 4 deg to 3;</t>
    </r>
    <r>
      <rPr>
        <rFont val="Arial"/>
        <b/>
        <color theme="1"/>
      </rPr>
      <t xml:space="preserve"> rerouted IR light power to computer USB and LFP noise was drastically reduced</t>
    </r>
  </si>
  <si>
    <t>10/27/2023</t>
  </si>
  <si>
    <t>fovealfaces, 2Dimages task; set up automator; cortex + possibly hippocampus recorded</t>
  </si>
  <si>
    <t>10/30/2023</t>
  </si>
  <si>
    <t>00.0, 07.2</t>
  </si>
  <si>
    <t>00.0, -00.8</t>
  </si>
  <si>
    <r>
      <rPr>
        <rFont val="Arial"/>
        <color theme="1"/>
      </rPr>
      <t xml:space="preserve">first angled penetration --&gt; </t>
    </r>
    <r>
      <rPr>
        <rFont val="Arial"/>
        <b/>
        <color theme="1"/>
      </rPr>
      <t>30 deg</t>
    </r>
    <r>
      <rPr>
        <rFont val="Arial"/>
        <color theme="1"/>
      </rPr>
      <t>, still running faces &amp; images; high visual drive</t>
    </r>
  </si>
  <si>
    <t>10/31/2023</t>
  </si>
  <si>
    <t>-00.5, 07.6</t>
  </si>
  <si>
    <t>-00.5, -00.4</t>
  </si>
  <si>
    <t>4800; 5350</t>
  </si>
  <si>
    <t>DV07.6 lowest I could go without bending probe; high visual drive again; drove probe further to 5350 after task (stopped getting spikes in lower channels at this point)</t>
  </si>
  <si>
    <t>11/01/2023</t>
  </si>
  <si>
    <t>-00.8, 08.0</t>
  </si>
  <si>
    <t>-00.8, 00.0</t>
  </si>
  <si>
    <t>4400</t>
  </si>
  <si>
    <r>
      <rPr>
        <rFont val="Arial"/>
        <b/>
        <color theme="1"/>
      </rPr>
      <t xml:space="preserve">40 deg </t>
    </r>
    <r>
      <rPr>
        <rFont val="Arial"/>
        <color theme="1"/>
      </rPr>
      <t>ang, seemed to encounter more bone at this AP; visual drive</t>
    </r>
  </si>
  <si>
    <t>11/02/2023</t>
  </si>
  <si>
    <t>00.8, 07.7</t>
  </si>
  <si>
    <t>00.8, -00.3</t>
  </si>
  <si>
    <r>
      <rPr>
        <rFont val="Arial"/>
        <color theme="1"/>
      </rPr>
      <t xml:space="preserve">40 deg ang; ran 300 trials of </t>
    </r>
    <r>
      <rPr>
        <rFont val="Arial"/>
        <b/>
        <color theme="1"/>
      </rPr>
      <t xml:space="preserve">2D images, </t>
    </r>
    <r>
      <rPr>
        <rFont val="Arial"/>
        <color theme="1"/>
      </rPr>
      <t xml:space="preserve">then neural </t>
    </r>
    <r>
      <rPr>
        <rFont val="Arial"/>
        <b/>
        <color theme="1"/>
      </rPr>
      <t xml:space="preserve">set 4; </t>
    </r>
    <r>
      <rPr>
        <rFont val="Arial"/>
        <color theme="1"/>
      </rPr>
      <t xml:space="preserve">visual drive but possibly less than posterior recordings </t>
    </r>
  </si>
  <si>
    <t>Saved_Images_West_neural_stim_RustDiCarlo_NaturalImages; Saved_Images_West_neural_stim_4</t>
  </si>
  <si>
    <t>11/06/2023</t>
  </si>
  <si>
    <t>40 deg ang, ran 2D images and foveal faces</t>
  </si>
  <si>
    <t>11/08/2023</t>
  </si>
  <si>
    <t>00.4, 07.6</t>
  </si>
  <si>
    <t>00.4, -00.4</t>
  </si>
  <si>
    <t>4700-4900</t>
  </si>
  <si>
    <r>
      <rPr>
        <rFont val="Arial"/>
        <b/>
        <color theme="1"/>
      </rPr>
      <t xml:space="preserve">Craniotomy </t>
    </r>
    <r>
      <rPr>
        <rFont val="Arial"/>
        <color theme="1"/>
      </rPr>
      <t xml:space="preserve">performed (AP02.6, DV 06.6). Recorded from H00; sudden burst of noise between 4700 and 4800. Retracted and noise did not improve, so drove to 4900. Noise still did not improve. </t>
    </r>
    <r>
      <rPr>
        <rFont val="Arial"/>
        <b/>
        <color theme="1"/>
      </rPr>
      <t>Probe appeared damaged at the tip once retracted. Did not record.</t>
    </r>
  </si>
  <si>
    <t>11/09/2023</t>
  </si>
  <si>
    <t>5450</t>
  </si>
  <si>
    <r>
      <rPr>
        <rFont val="Arial"/>
        <color theme="1"/>
      </rPr>
      <t xml:space="preserve">started </t>
    </r>
    <r>
      <rPr>
        <rFont val="Arial"/>
        <b/>
        <color theme="1"/>
      </rPr>
      <t xml:space="preserve">training </t>
    </r>
    <r>
      <rPr>
        <rFont val="Arial"/>
        <color theme="1"/>
      </rPr>
      <t xml:space="preserve">neural set </t>
    </r>
    <r>
      <rPr>
        <rFont val="Arial"/>
        <b/>
        <color theme="1"/>
      </rPr>
      <t xml:space="preserve">5_03; </t>
    </r>
    <r>
      <rPr>
        <rFont val="Arial"/>
        <color theme="1"/>
      </rPr>
      <t xml:space="preserve">first encountered spikes deeper than previous days in this location (3000u compared to 2000u). Not a lot of activity througout the probe. West was very sleepy so this was a shorter session. </t>
    </r>
    <r>
      <rPr>
        <rFont val="Arial"/>
        <b/>
        <color theme="1"/>
      </rPr>
      <t xml:space="preserve">Returned to using original probe </t>
    </r>
  </si>
  <si>
    <t>Saved_Imaged_West_neural_stim_5_03</t>
  </si>
  <si>
    <t>11/10/2023</t>
  </si>
  <si>
    <t>5400</t>
  </si>
  <si>
    <t xml:space="preserve">visual drive, units appear more active than previous day </t>
  </si>
  <si>
    <t>11/13/2023</t>
  </si>
  <si>
    <t>5300</t>
  </si>
  <si>
    <r>
      <rPr>
        <rFont val="Arial"/>
        <color theme="1"/>
      </rPr>
      <t xml:space="preserve">started </t>
    </r>
    <r>
      <rPr>
        <rFont val="Arial"/>
        <b/>
        <color theme="1"/>
      </rPr>
      <t xml:space="preserve">testing </t>
    </r>
    <r>
      <rPr>
        <rFont val="Arial"/>
        <color theme="1"/>
      </rPr>
      <t xml:space="preserve">neural set </t>
    </r>
    <r>
      <rPr>
        <rFont val="Arial"/>
        <b/>
        <color theme="1"/>
      </rPr>
      <t xml:space="preserve">5_03; </t>
    </r>
    <r>
      <rPr>
        <rFont val="Arial"/>
        <color theme="1"/>
      </rPr>
      <t xml:space="preserve">visual drive </t>
    </r>
  </si>
  <si>
    <t>11/14/2023</t>
  </si>
  <si>
    <t xml:space="preserve">visual drive, neurons possibly quietter? </t>
  </si>
  <si>
    <t>11/16/2023</t>
  </si>
  <si>
    <t>01.9, 06.2</t>
  </si>
  <si>
    <t>4650</t>
  </si>
  <si>
    <r>
      <rPr>
        <rFont val="Arial"/>
        <color theme="1"/>
      </rPr>
      <t xml:space="preserve">ran </t>
    </r>
    <r>
      <rPr>
        <rFont val="Arial"/>
        <b/>
        <color theme="1"/>
      </rPr>
      <t>RustDiCarlo (foveal faces &amp; 2D images)</t>
    </r>
  </si>
  <si>
    <t>11/17/2023</t>
  </si>
  <si>
    <t>E3 (1st day)</t>
  </si>
  <si>
    <r>
      <rPr>
        <rFont val="Arial"/>
        <b/>
        <color theme="1"/>
      </rPr>
      <t>IssaDiCarlo</t>
    </r>
    <r>
      <rPr>
        <rFont val="Arial"/>
        <color theme="1"/>
      </rPr>
      <t xml:space="preserve"> face task run for the first time, fewer trials than usual as I had trouble getting half of the task to work originally and West was sleepy </t>
    </r>
  </si>
  <si>
    <t>Saved_Images_West_neural_stim_IssaDiCarlo_Faces</t>
  </si>
  <si>
    <t>11/20/2023</t>
  </si>
  <si>
    <r>
      <rPr>
        <rFont val="Arial"/>
        <b/>
        <color theme="1"/>
      </rPr>
      <t>IssaDiCarlo</t>
    </r>
    <r>
      <rPr>
        <rFont val="Arial"/>
        <color theme="1"/>
      </rPr>
      <t xml:space="preserve"> face task</t>
    </r>
  </si>
  <si>
    <t>11/21/2023</t>
  </si>
  <si>
    <t>-00.8, 07.8</t>
  </si>
  <si>
    <t>-00.8, -00.2</t>
  </si>
  <si>
    <r>
      <rPr>
        <rFont val="Arial"/>
        <color theme="1"/>
      </rPr>
      <t xml:space="preserve">ran </t>
    </r>
    <r>
      <rPr>
        <rFont val="Arial"/>
        <b/>
        <color theme="1"/>
      </rPr>
      <t xml:space="preserve">IssaDiCarlo </t>
    </r>
    <r>
      <rPr>
        <rFont val="Arial"/>
        <color theme="1"/>
      </rPr>
      <t xml:space="preserve">faces task; higher activity in this location compared to the anterior area recorded from in previous days, spikes span many channels; avtivity throughout probe </t>
    </r>
  </si>
  <si>
    <t>11/22/2023</t>
  </si>
  <si>
    <t>00.0, 07.1</t>
  </si>
  <si>
    <r>
      <rPr>
        <rFont val="Arial"/>
        <b/>
        <color theme="1"/>
      </rPr>
      <t xml:space="preserve">IssaDiCarlo </t>
    </r>
    <r>
      <rPr>
        <rFont val="Arial"/>
        <color theme="1"/>
      </rPr>
      <t xml:space="preserve">face task, highest activity in mid/upper-channels; spikes near the tip became quiet while probe settled; visual drive, repsonse to faces </t>
    </r>
  </si>
  <si>
    <t>11/27/2023</t>
  </si>
  <si>
    <t>-----</t>
  </si>
  <si>
    <t>on the way to a depth of 1000u, the manipulator started smoking. after retracting the probe, it broke after making contact with silastic while the slider was unlocked</t>
  </si>
  <si>
    <t>11/29/2023</t>
  </si>
  <si>
    <t>02.6, 05.9</t>
  </si>
  <si>
    <t>00.0, -00.7</t>
  </si>
  <si>
    <r>
      <rPr>
        <rFont val="Arial"/>
        <color theme="1"/>
      </rPr>
      <t xml:space="preserve">ran </t>
    </r>
    <r>
      <rPr>
        <rFont val="Arial"/>
        <b/>
        <color theme="1"/>
      </rPr>
      <t xml:space="preserve">RustDiCarlo (foveal faces &amp; 2D images); first recording with new probe (probe 3); </t>
    </r>
    <r>
      <rPr>
        <rFont val="Arial"/>
        <color theme="1"/>
      </rPr>
      <t xml:space="preserve">visual drive, hard to tell if there was selectivity for faces </t>
    </r>
  </si>
  <si>
    <t>11/30/2023</t>
  </si>
  <si>
    <t>03.2, 06.2</t>
  </si>
  <si>
    <t>00.6, -00.4</t>
  </si>
  <si>
    <t>4800; 5500</t>
  </si>
  <si>
    <r>
      <rPr>
        <rFont val="Arial"/>
        <b/>
        <color rgb="FF000000"/>
      </rPr>
      <t xml:space="preserve">ran RustDiCarlo (foveal faces &amp; 2D images); </t>
    </r>
    <r>
      <rPr>
        <rFont val="Arial"/>
        <b val="0"/>
        <color rgb="FF000000"/>
      </rPr>
      <t xml:space="preserve">visual drive, but again unclear if there was face selectivity; very clean signal ; possibly reached hippocampus </t>
    </r>
  </si>
  <si>
    <t>12/4/2023</t>
  </si>
  <si>
    <r>
      <rPr>
        <rFont val="Arial"/>
        <color theme="1"/>
      </rPr>
      <t xml:space="preserve">ran </t>
    </r>
    <r>
      <rPr>
        <rFont val="Arial"/>
        <b/>
        <color theme="1"/>
      </rPr>
      <t xml:space="preserve">IssaDIcarlo </t>
    </r>
    <r>
      <rPr>
        <rFont val="Arial"/>
        <color theme="1"/>
      </rPr>
      <t>faces task; visual drive but not clear if there's selectivity for faces</t>
    </r>
  </si>
  <si>
    <t>12/5/2023</t>
  </si>
  <si>
    <t>01.9(5), 06.2</t>
  </si>
  <si>
    <r>
      <rPr>
        <rFont val="Arial"/>
        <color rgb="FF000000"/>
      </rPr>
      <t>ran I</t>
    </r>
    <r>
      <rPr>
        <rFont val="Arial"/>
        <b/>
        <color rgb="FF000000"/>
      </rPr>
      <t>ssaDIcarlo</t>
    </r>
    <r>
      <rPr>
        <rFont val="Arial"/>
        <color rgb="FF000000"/>
      </rPr>
      <t xml:space="preserve"> faces task; lower amp waves and less clear visual drive than previous recordings; fewer trials than usual, West kept falling asleep</t>
    </r>
  </si>
  <si>
    <t>12/6/2023</t>
  </si>
  <si>
    <r>
      <rPr>
        <rFont val="Arial"/>
        <color theme="1"/>
      </rPr>
      <t xml:space="preserve">ran </t>
    </r>
    <r>
      <rPr>
        <rFont val="Arial"/>
        <b/>
        <color theme="1"/>
      </rPr>
      <t xml:space="preserve">IssaDiCarlo </t>
    </r>
    <r>
      <rPr>
        <rFont val="Arial"/>
        <color theme="1"/>
      </rPr>
      <t>faces task; activity throughout the probe but smaller amp spikes overall. visual drive</t>
    </r>
  </si>
  <si>
    <t>12/7/2023</t>
  </si>
  <si>
    <r>
      <rPr>
        <rFont val="Arial"/>
        <color theme="1"/>
      </rPr>
      <t xml:space="preserve">ran </t>
    </r>
    <r>
      <rPr>
        <rFont val="Arial"/>
        <b/>
        <color theme="1"/>
      </rPr>
      <t xml:space="preserve">neural_stim_4 (familiar scenes), </t>
    </r>
    <r>
      <rPr>
        <rFont val="Arial"/>
        <color theme="1"/>
      </rPr>
      <t xml:space="preserve">visual drive again present. spikes started appearing @ 3000 and more activity followed after 4000; activiy throughout probe once on task </t>
    </r>
  </si>
  <si>
    <t>12/8/2023</t>
  </si>
  <si>
    <r>
      <rPr>
        <rFont val="Arial"/>
        <color theme="1"/>
      </rPr>
      <t xml:space="preserve">**high visual drive, activity throughout probe**, ran </t>
    </r>
    <r>
      <rPr>
        <rFont val="Arial"/>
        <b/>
        <color theme="1"/>
      </rPr>
      <t>neural_stim_4 (familiar scenes)</t>
    </r>
  </si>
  <si>
    <t>12/11/2023</t>
  </si>
  <si>
    <t>6400</t>
  </si>
  <si>
    <r>
      <rPr>
        <rFont val="Arial"/>
        <color theme="1"/>
      </rPr>
      <t xml:space="preserve">**drove the probe as far as possible to get as much TF as possible***; good activity, showed up deep; first day of </t>
    </r>
    <r>
      <rPr>
        <rFont val="Arial"/>
        <b/>
        <color theme="1"/>
      </rPr>
      <t xml:space="preserve">training neural_stim_5_04, </t>
    </r>
    <r>
      <rPr>
        <rFont val="Arial"/>
        <color theme="1"/>
      </rPr>
      <t>minimal visual drive?</t>
    </r>
  </si>
  <si>
    <t>Saved_Images_West_neural_stim_5_04</t>
  </si>
  <si>
    <t>12/12/2023</t>
  </si>
  <si>
    <t>6300</t>
  </si>
  <si>
    <r>
      <rPr>
        <rFont val="Arial"/>
        <b/>
        <color theme="1"/>
      </rPr>
      <t xml:space="preserve">training neural_stim_5_04; </t>
    </r>
    <r>
      <rPr>
        <rFont val="Arial"/>
        <b val="0"/>
        <color theme="1"/>
      </rPr>
      <t>good activity; again, seemingly less obvious visual drive but still present . during dk file, it looked/sounded like the unit on ch276 died, but then spikes returned to normal w/in ~30 sec.</t>
    </r>
  </si>
  <si>
    <t>12/13/2023</t>
  </si>
  <si>
    <r>
      <rPr>
        <rFont val="Arial"/>
        <b/>
        <color theme="1"/>
      </rPr>
      <t xml:space="preserve">test neural_stim_5_04; </t>
    </r>
    <r>
      <rPr>
        <rFont val="Arial"/>
        <b val="0"/>
        <color theme="1"/>
      </rPr>
      <t xml:space="preserve">similar patterns of visual drive as the previous two recordings; unit in chs276-280 may be in multiple recordings?; example of visual drive in ch269 (at least during last set of trials); </t>
    </r>
    <r>
      <rPr>
        <rFont val="Arial"/>
        <b/>
        <color theme="1"/>
      </rPr>
      <t>noise</t>
    </r>
    <r>
      <rPr>
        <rFont val="Arial"/>
        <b val="0"/>
        <color theme="1"/>
      </rPr>
      <t xml:space="preserve"> during retarction byproduct of West moving </t>
    </r>
  </si>
  <si>
    <t>12/14/2023</t>
  </si>
  <si>
    <r>
      <rPr>
        <rFont val="Arial"/>
        <b/>
        <color rgb="FF000000"/>
      </rPr>
      <t xml:space="preserve">test neural_stim_5_04; pump noise test w/in first 2 min of task recording; </t>
    </r>
    <r>
      <rPr>
        <rFont val="Arial"/>
        <b val="0"/>
        <color rgb="FF000000"/>
      </rPr>
      <t>visual drive similar to previous days; noise again present during the end of retraction</t>
    </r>
  </si>
  <si>
    <t>12/15/2023</t>
  </si>
  <si>
    <r>
      <rPr>
        <rFont val="Arial"/>
        <color theme="1"/>
      </rPr>
      <t xml:space="preserve">ran </t>
    </r>
    <r>
      <rPr>
        <rFont val="Arial"/>
        <b/>
        <color theme="1"/>
      </rPr>
      <t xml:space="preserve">neural_stim_4 (familiar scenes); </t>
    </r>
    <r>
      <rPr>
        <rFont val="Arial"/>
        <color theme="1"/>
      </rPr>
      <t xml:space="preserve">clear visual drive, activiy throughout most of the probe, though the ends were fairly quiet. Activity seemingly increased over the biginning portion of task. </t>
    </r>
  </si>
  <si>
    <t>12/19/2023</t>
  </si>
  <si>
    <t>L4</t>
  </si>
  <si>
    <r>
      <rPr>
        <rFont val="Arial"/>
        <b/>
        <color theme="1"/>
      </rPr>
      <t xml:space="preserve">test neural_stim_5_04 </t>
    </r>
    <r>
      <rPr>
        <rFont val="Arial"/>
        <color theme="1"/>
      </rPr>
      <t>(test day 3)</t>
    </r>
    <r>
      <rPr>
        <rFont val="Arial"/>
        <b/>
        <color theme="1"/>
      </rPr>
      <t xml:space="preserve">; </t>
    </r>
    <r>
      <rPr>
        <rFont val="Arial"/>
        <color theme="1"/>
      </rPr>
      <t>high levels of activity throughout the probe, clear visual drive; noise during retraction when West moved, noticed after depth of 2000</t>
    </r>
  </si>
  <si>
    <t>12/20/2023</t>
  </si>
  <si>
    <r>
      <rPr>
        <rFont val="Arial"/>
        <color theme="1"/>
      </rPr>
      <t xml:space="preserve">ran </t>
    </r>
    <r>
      <rPr>
        <rFont val="Arial"/>
        <b/>
        <color theme="1"/>
      </rPr>
      <t xml:space="preserve">CamelElephant_BaselFaces; </t>
    </r>
    <r>
      <rPr>
        <rFont val="Arial"/>
        <color theme="1"/>
      </rPr>
      <t>~first 1200 trials were run with scenebag durations set to 200ms, all trials after were changed to 300ms; activity throughout the probe, perhaps a bit less than yesterday's recording; visual drive; retracted @ 4u/sec, noise beginning at 1000 left to retract</t>
    </r>
  </si>
  <si>
    <t>Saved_Images_West_neural_stim_CamelElephant_BaselFaces</t>
  </si>
  <si>
    <t>12/21/2023</t>
  </si>
  <si>
    <r>
      <rPr>
        <rFont val="Arial"/>
        <color theme="1"/>
      </rPr>
      <t xml:space="preserve">probe tip may be starting to dull?; ran </t>
    </r>
    <r>
      <rPr>
        <rFont val="Arial"/>
        <b/>
        <color theme="1"/>
      </rPr>
      <t xml:space="preserve">CamelElephant_BaselFaces; </t>
    </r>
    <r>
      <rPr>
        <rFont val="Arial"/>
        <color theme="1"/>
      </rPr>
      <t>activity throughout the probe and visual drive on some channels; more activity than yesterday?; noise during retraction began with ~3000u left to retract</t>
    </r>
  </si>
  <si>
    <t>12/22/2023</t>
  </si>
  <si>
    <r>
      <rPr>
        <rFont val="Arial"/>
        <color theme="1"/>
      </rPr>
      <t xml:space="preserve">ran </t>
    </r>
    <r>
      <rPr>
        <rFont val="Arial"/>
        <b/>
        <color theme="1"/>
      </rPr>
      <t xml:space="preserve">CamelElephant_BaselFaces; </t>
    </r>
    <r>
      <rPr>
        <rFont val="Arial"/>
        <color theme="1"/>
      </rPr>
      <t xml:space="preserve">activity throughout probe, high visual drive; ran an automator for extra trials (after 2400 trials on first task), </t>
    </r>
    <r>
      <rPr>
        <rFont val="Arial"/>
        <b/>
        <color theme="1"/>
      </rPr>
      <t>but realized this automator still had scene bags set to 200ms, so restarted after ~ 100 trials</t>
    </r>
  </si>
  <si>
    <t>1/2/2024</t>
  </si>
  <si>
    <r>
      <rPr>
        <rFont val="Arial"/>
        <b/>
        <color theme="1"/>
      </rPr>
      <t xml:space="preserve">CamelElephant_BaselFaces; </t>
    </r>
    <r>
      <rPr>
        <rFont val="Arial"/>
        <b val="0"/>
        <color theme="1"/>
      </rPr>
      <t>activity throughout the probe, clear visual drive; West seemed less focused initially (first session after 10 days off)</t>
    </r>
  </si>
  <si>
    <t>1/3/2024</t>
  </si>
  <si>
    <t>6800</t>
  </si>
  <si>
    <t>89.9</t>
  </si>
  <si>
    <r>
      <rPr>
        <rFont val="Arial"/>
        <b/>
        <color theme="1"/>
      </rPr>
      <t xml:space="preserve">neural_stim_4 (familiar scenes); </t>
    </r>
    <r>
      <rPr>
        <rFont val="Arial"/>
        <b val="0"/>
        <color theme="1"/>
      </rPr>
      <t>large gap in activity spanning &gt;100 chs, which we believe to be the gap between hippocampus and medial cortex; high activity in the remaining areas, possile visual drive but many units not selective; late start after setting up returned manipulator so the session was shorter than usual</t>
    </r>
  </si>
  <si>
    <t>1/4/2024</t>
  </si>
  <si>
    <t>89.8</t>
  </si>
  <si>
    <r>
      <rPr>
        <rFont val="Arial"/>
        <b/>
        <color rgb="FF000000"/>
      </rPr>
      <t xml:space="preserve">neural_stim_4 (familiar scenes); </t>
    </r>
    <r>
      <rPr>
        <rFont val="Arial"/>
        <b val="0"/>
        <color rgb="FF000000"/>
      </rPr>
      <t xml:space="preserve">recording from IT and hippocampus; high activity throughout the probe, less activity in upper channels but units appeared over time; may be some visual drive, again hard to tell </t>
    </r>
  </si>
  <si>
    <t>1/5/2024</t>
  </si>
  <si>
    <t>02.6, 05.95</t>
  </si>
  <si>
    <t>00.0, -00.65</t>
  </si>
  <si>
    <t>6600</t>
  </si>
  <si>
    <r>
      <rPr>
        <rFont val="Arial"/>
        <b/>
        <color rgb="FF000000"/>
      </rPr>
      <t xml:space="preserve">neural_stim_4 (familiar scenes); </t>
    </r>
    <r>
      <rPr>
        <rFont val="Arial"/>
        <b val="0"/>
        <color rgb="FF000000"/>
      </rPr>
      <t>bleed during penetration, noticed around 5000. neurons appeared unaffected; 6600 is as deep as we can go in this location (with current probe setup) without interference with the board; high activty throughout probe, with gap from chs190-280, not sure what this is. possible cortex in upper channels, then hippocampus throghout the rest(?), and what looks like TH at the tip, but we need to go about 2mm further to get more of TH; possible visual drive but hard to tell; noise while retracting starting around 3400</t>
    </r>
  </si>
  <si>
    <t>1/8/2024</t>
  </si>
  <si>
    <t>6770; 6900</t>
  </si>
  <si>
    <r>
      <rPr>
        <rFont val="Arial"/>
        <b/>
        <color theme="1"/>
      </rPr>
      <t>neural_stim_4 (familiar scenes);</t>
    </r>
    <r>
      <rPr>
        <rFont val="Arial"/>
        <color theme="1"/>
      </rPr>
      <t xml:space="preserve"> rotated the probe to get deeper TH, but seemed to be out of brain @ 7000 and the first 12 to 13 chs looked noisey. backed out to 6770, and will retract from 7000. possibly hit TH in last recording then? possible visual drive; </t>
    </r>
    <r>
      <rPr>
        <rFont val="Arial"/>
        <b/>
        <color theme="1"/>
      </rPr>
      <t>retracted from 6900</t>
    </r>
  </si>
  <si>
    <t>1/9/2024</t>
  </si>
  <si>
    <r>
      <rPr>
        <rFont val="Arial"/>
        <b/>
        <color rgb="FF000000"/>
      </rPr>
      <t xml:space="preserve">neural_stim_4 (familiar scenes); </t>
    </r>
    <r>
      <rPr>
        <rFont val="Arial"/>
        <b val="0"/>
        <color rgb="FF000000"/>
      </rPr>
      <t>recording from IT and hippocampus, rotated the probe; activity throughout the probe after settling, though unclear where gap between IT and hippocampus lies (IT ch250 and up?); visual drive in IT</t>
    </r>
  </si>
  <si>
    <t>1/10/2024</t>
  </si>
  <si>
    <t>6200; 7000</t>
  </si>
  <si>
    <r>
      <rPr>
        <rFont val="Arial"/>
        <b/>
        <color rgb="FF000000"/>
      </rPr>
      <t xml:space="preserve">neural_stim_4 (familiar scenes); </t>
    </r>
    <r>
      <rPr>
        <rFont val="Arial"/>
        <b val="0"/>
        <color rgb="FF000000"/>
      </rPr>
      <t xml:space="preserve">recroding mostly hippocampus, probe again rotated (closer to 180 deg); activity throughout with a gap of less active units in the mid section; possible visual drive in upper channels but hard to tell in lower channels; </t>
    </r>
    <r>
      <rPr>
        <rFont val="Arial"/>
        <b/>
        <color rgb="FF000000"/>
      </rPr>
      <t xml:space="preserve">retracted from 7000; </t>
    </r>
    <r>
      <rPr>
        <rFont val="Arial"/>
        <b val="0"/>
        <color rgb="FF000000"/>
      </rPr>
      <t>When retracting, high amp units of IT ended in the upper channels around 5900, not much activity behind it</t>
    </r>
  </si>
  <si>
    <t>1/11/2024</t>
  </si>
  <si>
    <r>
      <rPr>
        <rFont val="Arial"/>
        <b/>
        <color rgb="FF000000"/>
      </rPr>
      <t xml:space="preserve">neural_stim_4 (familiar scenes); </t>
    </r>
    <r>
      <rPr>
        <rFont val="Arial"/>
        <b val="0"/>
        <color rgb="FF000000"/>
      </rPr>
      <t>recorded from more of IT, some hippocampus; visual drive in IT, not clear in hippocampus; rotated probe ~180 deg again; sensor wasn't saving data for first 1000 trials?; high activity in areas of IT and hippocampus, gap may correspond to gap in between these areas</t>
    </r>
  </si>
  <si>
    <t>1/12/2024</t>
  </si>
  <si>
    <t>02.6, 05.7</t>
  </si>
  <si>
    <t>6900; 7000</t>
  </si>
  <si>
    <r>
      <rPr>
        <rFont val="Arial"/>
        <b/>
        <color rgb="FF000000"/>
      </rPr>
      <t>neural_stim_4 (familiar scenes); d</t>
    </r>
    <r>
      <rPr>
        <rFont val="Arial"/>
        <b val="0"/>
        <color rgb="FF000000"/>
      </rPr>
      <t xml:space="preserve">rove the probe until tip was silent; should be recording from TH at the tip; unclear if there is visual drive in lower channels as well as upper channels, but good activity throughout. rotated probe 180 deg; retracted </t>
    </r>
    <r>
      <rPr>
        <rFont val="Arial"/>
        <b/>
        <color rgb="FF000000"/>
      </rPr>
      <t xml:space="preserve">from 7000, </t>
    </r>
    <r>
      <rPr>
        <rFont val="Arial"/>
        <b val="0"/>
        <color rgb="FF000000"/>
      </rPr>
      <t xml:space="preserve">no further activity </t>
    </r>
  </si>
  <si>
    <t>1/16/2024</t>
  </si>
  <si>
    <t>02.6, 06.2</t>
  </si>
  <si>
    <t>00.0, -00.4</t>
  </si>
  <si>
    <t>8000</t>
  </si>
  <si>
    <r>
      <rPr>
        <rFont val="Arial"/>
        <b/>
        <color theme="1"/>
      </rPr>
      <t xml:space="preserve">training neural_stim_5_05; </t>
    </r>
    <r>
      <rPr>
        <rFont val="Arial"/>
        <b/>
        <color rgb="FF0000FF"/>
      </rPr>
      <t>first day using long probe configuration.</t>
    </r>
    <r>
      <rPr>
        <rFont val="Arial"/>
        <b/>
        <color theme="1"/>
      </rPr>
      <t xml:space="preserve"> </t>
    </r>
    <r>
      <rPr>
        <rFont val="Arial"/>
        <b val="0"/>
        <color theme="1"/>
      </rPr>
      <t xml:space="preserve">unclear if there's visual drive in TH, possible in hippocampus, present in IT. three distinct areas with gaps in between (IT, hipp, TH?) </t>
    </r>
  </si>
  <si>
    <t>started using long probe configuration</t>
  </si>
  <si>
    <t>started retracting @ 4u</t>
  </si>
  <si>
    <t>Saved_Images_West_neural_stim_5_05</t>
  </si>
  <si>
    <t>1/17/2024</t>
  </si>
  <si>
    <t>7900</t>
  </si>
  <si>
    <r>
      <rPr>
        <rFont val="Arial"/>
        <b/>
        <color rgb="FF000000"/>
      </rPr>
      <t xml:space="preserve">training neural_stim_5_05; probe 4 (probe 3 broke), </t>
    </r>
    <r>
      <rPr>
        <rFont val="Arial"/>
        <b val="0"/>
        <color rgb="FF000000"/>
      </rPr>
      <t>visual drive in chs of IT, not clear for TH and hipp; three distinct areas present on spike map, although the gap between hipp &amp; TH filled in with spikes over the course of the session</t>
    </r>
  </si>
  <si>
    <t>1/18/2024</t>
  </si>
  <si>
    <t>79.9</t>
  </si>
  <si>
    <r>
      <rPr>
        <rFont val="Arial"/>
        <b/>
        <color theme="1"/>
      </rPr>
      <t xml:space="preserve">testing neural_stim_5_05; </t>
    </r>
    <r>
      <rPr>
        <rFont val="Arial"/>
        <b val="0"/>
        <color theme="1"/>
      </rPr>
      <t xml:space="preserve">three distinct areas present again, spikes filled more channels over the course of the session. West was sleepy throughout. possible visual dreive in TH, unclear in hipp, hard to tell in high activity areas of IT </t>
    </r>
  </si>
  <si>
    <t>1/19/2024</t>
  </si>
  <si>
    <r>
      <rPr>
        <rFont val="Arial"/>
        <b/>
        <color rgb="FF000000"/>
      </rPr>
      <t xml:space="preserve">testing neural_stim_5_05; </t>
    </r>
    <r>
      <rPr>
        <rFont val="Arial"/>
        <b val="0"/>
        <color rgb="FF000000"/>
      </rPr>
      <t xml:space="preserve">three areas present, drive and activity similar to previous days; ch9 in upper bank less responsive to UVW? </t>
    </r>
    <r>
      <rPr>
        <rFont val="Arial"/>
        <b/>
        <color rgb="FF000000"/>
      </rPr>
      <t xml:space="preserve">Note: Heard weird popping  noise @ 3200 while retracting, then the heat map looked noisy (most channels were blue, scattered channels of noise throughout). Then 100 - 200u later, the entire probe went blue. Probe unable to connect to SpikeGLX. </t>
    </r>
  </si>
  <si>
    <t>silatic replaced (shallow)</t>
  </si>
  <si>
    <t>1/22/2024</t>
  </si>
  <si>
    <t>02.6, 06.6</t>
  </si>
  <si>
    <t xml:space="preserve">testing 8000 penetration with dummy probe after another probe breaking during retraction (P30). </t>
  </si>
  <si>
    <t>dummy</t>
  </si>
  <si>
    <t>silastic replaced (shallow)</t>
  </si>
  <si>
    <t>1/23/2024</t>
  </si>
  <si>
    <t>7500</t>
  </si>
  <si>
    <r>
      <rPr>
        <rFont val="Arial"/>
        <b/>
        <color theme="1"/>
      </rPr>
      <t xml:space="preserve">neural_stim_4 (ABC39 and DEF39 are now ABC44 and DEF44) (familiar scenes); </t>
    </r>
    <r>
      <rPr>
        <rFont val="Arial"/>
        <b val="0"/>
        <color theme="1"/>
      </rPr>
      <t>three distinct areas of activity, still getting putative TH at this depth. possible visual drive in hippocampus and TH, drive in IT</t>
    </r>
  </si>
  <si>
    <r>
      <rPr>
        <rFont val="Arial"/>
        <b val="0"/>
        <color theme="1"/>
      </rPr>
      <t>added to existing silastic</t>
    </r>
    <r>
      <rPr>
        <rFont val="Arial"/>
        <b/>
        <color theme="1"/>
      </rPr>
      <t>. returned to retracting @ 3u</t>
    </r>
  </si>
  <si>
    <t>Saved_Images_West_neural_stim_4_1ABC2DEF_RSVP44</t>
  </si>
  <si>
    <t>1/24/2024</t>
  </si>
  <si>
    <t>7200</t>
  </si>
  <si>
    <r>
      <rPr>
        <rFont val="Arial"/>
        <b/>
        <color rgb="FF000000"/>
      </rPr>
      <t xml:space="preserve">training neural_stim_5_06; </t>
    </r>
    <r>
      <rPr>
        <rFont val="Arial"/>
        <b val="0"/>
        <color rgb="FF000000"/>
      </rPr>
      <t xml:space="preserve">could have driven the probe a tad farther but was unable to without interference from wound margin. aiming for subiculum. tip may be in TH? activity throughout probe, visual drive in IT, unclear in hipp. </t>
    </r>
  </si>
  <si>
    <t>going forward, retractions will not be recorded from penetrations &lt;7.68mm</t>
  </si>
  <si>
    <t>Saved_Images_West_neural_stim_5_06</t>
  </si>
  <si>
    <t>1/25/2024</t>
  </si>
  <si>
    <t>7400</t>
  </si>
  <si>
    <r>
      <rPr>
        <rFont val="Arial"/>
        <b/>
        <color rgb="FF000000"/>
      </rPr>
      <t xml:space="preserve">training neural_stim_5_06; </t>
    </r>
    <r>
      <rPr>
        <rFont val="Arial"/>
        <b val="0"/>
        <color rgb="FF000000"/>
      </rPr>
      <t>drove 200u farther than yesterday with the probe rotated, this is the max depth as the metal rod would interfere with wound edge. possible visual drive in lower probe (TH?) and some channels of IT. not clear for hipp</t>
    </r>
  </si>
  <si>
    <t>1/26/2024</t>
  </si>
  <si>
    <r>
      <rPr>
        <rFont val="Arial"/>
        <b/>
        <color theme="1"/>
      </rPr>
      <t xml:space="preserve">testing_neural_stim_5_06; </t>
    </r>
    <r>
      <rPr>
        <rFont val="Arial"/>
        <color theme="1"/>
      </rPr>
      <t xml:space="preserve">visual drive in IT, unclear for hipp and below; three distinct areas of activity as there has been throughout this learning expt. </t>
    </r>
  </si>
  <si>
    <t>1/29/2024</t>
  </si>
  <si>
    <r>
      <rPr>
        <rFont val="Arial"/>
        <b/>
        <color rgb="FF000000"/>
      </rPr>
      <t xml:space="preserve">testing_neural_stim_5_06; </t>
    </r>
    <r>
      <rPr>
        <rFont val="Arial"/>
        <b val="0"/>
        <color rgb="FF000000"/>
      </rPr>
      <t>similar visual drive patterns to previoius days, three distinct areas of activity</t>
    </r>
  </si>
  <si>
    <t>1/30/2024</t>
  </si>
  <si>
    <r>
      <rPr>
        <rFont val="Arial"/>
        <b/>
        <color theme="1"/>
      </rPr>
      <t xml:space="preserve">neural_stim_4 (familiar scenes); </t>
    </r>
    <r>
      <rPr>
        <rFont val="Arial"/>
        <b val="0"/>
        <color theme="1"/>
      </rPr>
      <t xml:space="preserve">visual drive in IT, possibly on select channels in hipp, hard to tell in TH; gap in hipp that wasn't present during previous recordings </t>
    </r>
  </si>
  <si>
    <t>1/31/2024</t>
  </si>
  <si>
    <t>02.1, 06.05</t>
  </si>
  <si>
    <t>-00.5, -00.55</t>
  </si>
  <si>
    <t>6200</t>
  </si>
  <si>
    <r>
      <rPr>
        <rFont val="Arial"/>
        <b/>
        <color theme="1"/>
      </rPr>
      <t xml:space="preserve">neural_stim_4 (famliar scenes); </t>
    </r>
    <r>
      <rPr>
        <rFont val="Arial"/>
        <b val="0"/>
        <color theme="1"/>
      </rPr>
      <t>deepest probe could go before wound edge interference. visual drive in IT, hard to tell elsewhere. small gap bt IT and hipp. activity spans from upper bank ch110 - tip</t>
    </r>
  </si>
  <si>
    <t>2/1/2024</t>
  </si>
  <si>
    <t>01.9, 06.6</t>
  </si>
  <si>
    <t>-00.7, 00.0</t>
  </si>
  <si>
    <r>
      <rPr>
        <rFont val="Arial"/>
        <b/>
        <color rgb="FF000000"/>
      </rPr>
      <t xml:space="preserve">neural_stim_4 (famliar scenes); </t>
    </r>
    <r>
      <rPr>
        <rFont val="Arial"/>
        <b val="0"/>
        <color rgb="FF000000"/>
      </rPr>
      <t xml:space="preserve">drive in IT, unclear in hipp, possibly some in lower channels. activity from tip through upper bank ch194. </t>
    </r>
  </si>
  <si>
    <t>2/2/2024</t>
  </si>
  <si>
    <r>
      <rPr>
        <rFont val="Arial"/>
        <b/>
        <color theme="1"/>
      </rPr>
      <t xml:space="preserve">neural_stim_4 (familiar scenes); </t>
    </r>
    <r>
      <rPr>
        <rFont val="Arial"/>
        <color theme="1"/>
      </rPr>
      <t xml:space="preserve">drive in IT? not as clear with 90 deg recordings. unclear in hipp and lower chs. Activity near tip possibly TH or PaS. most activity in IT and relatively sparse elsewhere but present </t>
    </r>
  </si>
  <si>
    <t>slastic replaced -- some CSF H01</t>
  </si>
  <si>
    <t>2/5/2024</t>
  </si>
  <si>
    <t xml:space="preserve">did not record, ran West on familiar scenes </t>
  </si>
  <si>
    <t>2/6/2024</t>
  </si>
  <si>
    <r>
      <rPr>
        <rFont val="Arial"/>
        <b/>
        <color rgb="FF000000"/>
      </rPr>
      <t xml:space="preserve">neural_stim_4 (familiar scenes); noticed pump noise toward the end of the session; </t>
    </r>
    <r>
      <rPr>
        <rFont val="Arial"/>
        <b val="0"/>
        <color rgb="FF000000"/>
      </rPr>
      <t>drive in IT, unclear in other areas. high activity in IT and moderate activity in upper part of hipp, but then a large gap until putative TH, but activity not high there either</t>
    </r>
  </si>
  <si>
    <t xml:space="preserve">added silastic </t>
  </si>
  <si>
    <t>2/7/2024</t>
  </si>
  <si>
    <t>7750</t>
  </si>
  <si>
    <t>75.0</t>
  </si>
  <si>
    <t>extra</t>
  </si>
  <si>
    <r>
      <rPr>
        <rFont val="Arial"/>
        <b/>
        <color theme="1"/>
      </rPr>
      <t xml:space="preserve">neural_stim_4 (familiar scenes); </t>
    </r>
    <r>
      <rPr>
        <rFont val="Arial"/>
        <b val="0"/>
        <color theme="1"/>
      </rPr>
      <t xml:space="preserve">bursty spikes throughout the lower portion of the probe, activity spans many channels and these units were visually driven. drive in IT, hard to tell in dense activity. less of a gap in activity compared to yesterday.  </t>
    </r>
  </si>
  <si>
    <t>2/8/2024</t>
  </si>
  <si>
    <r>
      <rPr>
        <rFont val="Arial"/>
        <b/>
        <color theme="1"/>
      </rPr>
      <t xml:space="preserve">training neural_stim_5_07; </t>
    </r>
    <r>
      <rPr>
        <rFont val="Arial"/>
        <color theme="1"/>
      </rPr>
      <t xml:space="preserve">activity looks slightly different than yesterday, less impressive spikes. bursty spikes again in lower probe. visual drive in some lower probe channels. gap ~100ch. drive in IT. low performance on freeview. </t>
    </r>
  </si>
  <si>
    <t>2/9/2024</t>
  </si>
  <si>
    <r>
      <rPr>
        <rFont val="Arial"/>
        <b/>
        <color rgb="FF000000"/>
      </rPr>
      <t xml:space="preserve">training neural_stim_5_07; </t>
    </r>
    <r>
      <rPr>
        <rFont val="Arial"/>
        <b val="0"/>
        <color rgb="FF000000"/>
      </rPr>
      <t xml:space="preserve">impressive spikes in lower bank, much higher activity. somewhat of a gap bt lower bank ch275- upeer bank ch25. </t>
    </r>
    <r>
      <rPr>
        <rFont val="Arial"/>
        <b/>
        <color rgb="FF000000"/>
      </rPr>
      <t xml:space="preserve">Visual drive in lower channels (ch83, 87, 99). </t>
    </r>
    <r>
      <rPr>
        <rFont val="Arial"/>
        <b val="0"/>
        <color rgb="FF000000"/>
      </rPr>
      <t>high IT activity</t>
    </r>
  </si>
  <si>
    <t>2/12/2024</t>
  </si>
  <si>
    <r>
      <rPr>
        <rFont val="Arial"/>
        <b/>
        <color rgb="FF000000"/>
      </rPr>
      <t xml:space="preserve">training neural_stim_5_07; </t>
    </r>
    <r>
      <rPr>
        <rFont val="Arial"/>
        <b val="0"/>
        <color rgb="FF000000"/>
      </rPr>
      <t xml:space="preserve">acitivity similar to previous recording, high in IT and hipp/TH channels. ~100 ch gap in lower bank. </t>
    </r>
    <r>
      <rPr>
        <rFont val="Arial"/>
        <b/>
        <color rgb="FF000000"/>
      </rPr>
      <t>Visual drive again in select lower channels (80, 91, 143, 151)</t>
    </r>
  </si>
  <si>
    <t>2/14/2024</t>
  </si>
  <si>
    <r>
      <rPr>
        <rFont val="Arial"/>
        <b/>
        <color rgb="FF000000"/>
      </rPr>
      <t xml:space="preserve">training neural_stim_5_07; </t>
    </r>
    <r>
      <rPr>
        <rFont val="Arial"/>
        <b val="0"/>
        <color rgb="FF000000"/>
      </rPr>
      <t xml:space="preserve">similar activity. visual drive on lower ch144 and surrounding chs. lower ch79? ran extra trials. not a great performance day </t>
    </r>
  </si>
  <si>
    <t>2/15/2024</t>
  </si>
  <si>
    <t>7700</t>
  </si>
  <si>
    <r>
      <rPr>
        <rFont val="Arial"/>
        <b/>
        <color theme="1"/>
      </rPr>
      <t xml:space="preserve">testing_neural_stim_5_07; </t>
    </r>
    <r>
      <rPr>
        <rFont val="Arial"/>
        <b val="0"/>
        <color theme="1"/>
      </rPr>
      <t xml:space="preserve">visual drive in some lower channels (155) but hard to tell in IT where it's highly active. again similar activity patterns to previous days. </t>
    </r>
  </si>
  <si>
    <t>2/16/2024</t>
  </si>
  <si>
    <t>L5</t>
  </si>
  <si>
    <r>
      <rPr>
        <rFont val="Arial"/>
        <b/>
        <color theme="1"/>
      </rPr>
      <t xml:space="preserve">testing_neural_stim_5_07; </t>
    </r>
    <r>
      <rPr>
        <rFont val="Arial"/>
        <b val="0"/>
        <color theme="1"/>
      </rPr>
      <t>may be slightly deeper than usual at 7750, hard to tell before probe settled. good activity throughout the probe, but not sure if I'm picking up any visual drive in the lower channels. some drive in IT. lower ch243 was an interesting unit.</t>
    </r>
  </si>
  <si>
    <t>2/17/2024</t>
  </si>
  <si>
    <t>L6</t>
  </si>
  <si>
    <r>
      <rPr>
        <rFont val="Arial"/>
        <b/>
        <color theme="1"/>
      </rPr>
      <t xml:space="preserve">testing_neural_stim_5_07; </t>
    </r>
    <r>
      <rPr>
        <rFont val="Arial"/>
        <b val="0"/>
        <color theme="1"/>
      </rPr>
      <t>activity in IT initially not as impressive as it usually is, but improved over time and looked normal by the end of the session. nice unit on upper ch117 at one point. good units throughout the rest of the probe too. visual drive in IT and some lower channels possibly (75, 168, 195). West was pretty sleepy. performance not great on freeview. fewer trials than previous days</t>
    </r>
  </si>
  <si>
    <t>2/19/2024</t>
  </si>
  <si>
    <t>74.9</t>
  </si>
  <si>
    <t>L7</t>
  </si>
  <si>
    <r>
      <rPr>
        <rFont val="Arial"/>
        <b/>
        <color rgb="FF000000"/>
      </rPr>
      <t xml:space="preserve">testing_neural_stim_5_07; </t>
    </r>
    <r>
      <rPr>
        <rFont val="Arial"/>
        <b val="0"/>
        <color rgb="FF000000"/>
      </rPr>
      <t xml:space="preserve">great neural activity throughout the probe. visual drive on lower ch143 and surrounding chs. visual drive in IT but not very clear.  </t>
    </r>
  </si>
  <si>
    <t>2/20/2024</t>
  </si>
  <si>
    <t>2/26/2024</t>
  </si>
  <si>
    <t>-00.6, 07.6</t>
  </si>
  <si>
    <t>-00.6, -00.4</t>
  </si>
  <si>
    <t>5100</t>
  </si>
  <si>
    <r>
      <rPr>
        <rFont val="Arial"/>
        <b/>
        <color rgb="FF000000"/>
      </rPr>
      <t xml:space="preserve">neural_stim_4 (familiar scenes); </t>
    </r>
    <r>
      <rPr>
        <rFont val="Arial"/>
        <b val="0"/>
        <color rgb="FF000000"/>
      </rPr>
      <t xml:space="preserve">returned to face patch, bone growth prevented recording any further posterior &amp; ventral. went with 35 deg as 40 deg didn't seem safe. visual drive in superficial and deep channels. hard to distinguish face selectivity online. </t>
    </r>
  </si>
  <si>
    <t>retract @ 4u</t>
  </si>
  <si>
    <t>2/27/2024</t>
  </si>
  <si>
    <r>
      <rPr>
        <rFont val="Arial"/>
        <color theme="1"/>
      </rPr>
      <t xml:space="preserve">noise appeared at 5000 throughout the probe after it had stopped moving. backed out to inspect. </t>
    </r>
    <r>
      <rPr>
        <rFont val="Arial"/>
        <b/>
        <color theme="1"/>
      </rPr>
      <t xml:space="preserve">tip broke off in brain. </t>
    </r>
  </si>
  <si>
    <t>2/28/2024</t>
  </si>
  <si>
    <t>-00.6, 07.7</t>
  </si>
  <si>
    <t>-00.6, -00.3</t>
  </si>
  <si>
    <t>54.9</t>
  </si>
  <si>
    <r>
      <rPr>
        <rFont val="Arial"/>
        <color theme="1"/>
      </rPr>
      <t xml:space="preserve">good spikes in the lower portion of the probe, still got spikes @ 4900. at 5000, lost signal. </t>
    </r>
    <r>
      <rPr>
        <rFont val="Arial"/>
        <b/>
        <color theme="1"/>
      </rPr>
      <t xml:space="preserve">tip again broke off in bran. about 1-1.5mm, similar to yesterday. </t>
    </r>
  </si>
  <si>
    <t>6 (1 of box 2)</t>
  </si>
  <si>
    <t>3/1/2024</t>
  </si>
  <si>
    <t>did not record</t>
  </si>
  <si>
    <t>3/6/2024</t>
  </si>
  <si>
    <r>
      <rPr>
        <rFont val="Arial"/>
        <color theme="1"/>
      </rPr>
      <t xml:space="preserve">ran </t>
    </r>
    <r>
      <rPr>
        <rFont val="Arial"/>
        <b/>
        <color theme="1"/>
      </rPr>
      <t>manipulated faces (IssaDIcarlo task),</t>
    </r>
    <r>
      <rPr>
        <rFont val="Arial"/>
        <color theme="1"/>
      </rPr>
      <t xml:space="preserve"> added 300 trials of marmoset faces at beginning. </t>
    </r>
    <r>
      <rPr>
        <rFont val="Arial"/>
        <b/>
        <color theme="1"/>
      </rPr>
      <t xml:space="preserve">short probe config. </t>
    </r>
    <r>
      <rPr>
        <rFont val="Arial"/>
        <color theme="1"/>
      </rPr>
      <t>drive in upper chs, hard to tell if there's face selectivity online. two groups of spikes: one at upper probe (face patch), another toward the deepest chs</t>
    </r>
  </si>
  <si>
    <t>7 (2 of box 2)</t>
  </si>
  <si>
    <t>retracting @ 4 again</t>
  </si>
  <si>
    <t>3/7/2024</t>
  </si>
  <si>
    <t>00.5, 07.2</t>
  </si>
  <si>
    <t>70.0</t>
  </si>
  <si>
    <r>
      <rPr>
        <rFont val="Arial"/>
        <b/>
        <color rgb="FF000000"/>
      </rPr>
      <t xml:space="preserve">neural_stim_4 (familiar scenes); </t>
    </r>
    <r>
      <rPr>
        <rFont val="Arial"/>
        <b val="0"/>
        <color rgb="FF000000"/>
      </rPr>
      <t>activity throughout the probe (chs in brain), visual drive in IT but not clear elsewhere. band of high activity IT neurons in lower bank from ~ch275-375. bottom channels should be TF/TL</t>
    </r>
  </si>
  <si>
    <t>3/8/2024</t>
  </si>
  <si>
    <r>
      <rPr>
        <rFont val="Arial"/>
        <b/>
        <color rgb="FF000000"/>
      </rPr>
      <t xml:space="preserve">neural_stim_4 (familiar scenes); pump noise, tried to reduce but likely will show up on many channels. moved pump farther away from West. </t>
    </r>
    <r>
      <rPr>
        <rFont val="Arial"/>
        <b val="0"/>
        <color rgb="FF000000"/>
      </rPr>
      <t xml:space="preserve">visual drive in IT and lower (TH) chs. possibly scene selectivity in TH chs. West performed fewer trials than usual </t>
    </r>
  </si>
  <si>
    <t>3/11/2024</t>
  </si>
  <si>
    <t>6900</t>
  </si>
  <si>
    <t xml:space="preserve">ballroom neural_stim_4 (familiar scenes) -- 0DEF, 2XXX, 2DXX, 2XEF instead of ABC variations. </t>
  </si>
  <si>
    <t>3/12/2024</t>
  </si>
  <si>
    <r>
      <rPr>
        <rFont val="Arial"/>
        <b/>
        <color rgb="FF000000"/>
      </rPr>
      <t xml:space="preserve">ran manipulated faces (IssaDIcarlo task)(+Marmoset faces); first recording angled 10 deg in horizontal plane. </t>
    </r>
    <r>
      <rPr>
        <rFont val="Arial"/>
        <b val="0"/>
        <color rgb="FF000000"/>
      </rPr>
      <t xml:space="preserve">the probe was quiet for a while but activiy increased nicely as the probe settled and task began. visual drive in upper IT -- not sure if there's face selectivity. visual drive not clear in lower chs. fewer trials than ususal, low effort towards the end </t>
    </r>
  </si>
  <si>
    <t>3/13/2024</t>
  </si>
  <si>
    <t>-00.6, 07.8</t>
  </si>
  <si>
    <t>-00.6, -00.2</t>
  </si>
  <si>
    <r>
      <rPr>
        <rFont val="Arial"/>
        <b/>
        <color rgb="FF000000"/>
      </rPr>
      <t xml:space="preserve">ran manipulated faces (IssaDIcarlo task)(+Marmoset faces); </t>
    </r>
    <r>
      <rPr>
        <rFont val="Arial"/>
        <b val="0"/>
        <color rgb="FF000000"/>
      </rPr>
      <t xml:space="preserve">more activity than yesterday, clear visual drive in upper chs; from about 160 and up. better effort than yesterday. </t>
    </r>
  </si>
  <si>
    <t>3/14/2024</t>
  </si>
  <si>
    <t>-00.575, 07.94</t>
  </si>
  <si>
    <t>-00.575, -00.06</t>
  </si>
  <si>
    <t>4500</t>
  </si>
  <si>
    <r>
      <rPr>
        <rFont val="Arial"/>
        <b/>
        <color rgb="FF000000"/>
      </rPr>
      <t xml:space="preserve">ran manipulated faces (IssaDIcarlo task)(+Marmoset faces); </t>
    </r>
    <r>
      <rPr>
        <rFont val="Arial"/>
        <b val="0"/>
        <color rgb="FF000000"/>
      </rPr>
      <t>perhaps more activity than yesterday, and more obvious visual drive in lower probe. high visual drive in upper areas, not clear on face selectivity. a but worse effort from West compared to yesterday. fewer trials for 2Dfaces</t>
    </r>
  </si>
  <si>
    <t>3/18/2024</t>
  </si>
  <si>
    <r>
      <rPr>
        <rFont val="Arial"/>
        <b/>
        <color theme="1"/>
      </rPr>
      <t xml:space="preserve">ran natural images/Elias Neptune (+Marmoset faces); </t>
    </r>
    <r>
      <rPr>
        <rFont val="Arial"/>
        <b val="0"/>
        <color theme="1"/>
      </rPr>
      <t xml:space="preserve">good activity throughout the probe. visual drive in upper chs and some lower as well. again, no clear face selectivity online. West was sleepy. some minor pump noise developed over time. </t>
    </r>
  </si>
  <si>
    <t>3/19/2024</t>
  </si>
  <si>
    <r>
      <rPr>
        <rFont val="Arial"/>
        <b/>
        <color rgb="FF000000"/>
      </rPr>
      <t xml:space="preserve">neural_stim_4 (familiar scenes); </t>
    </r>
    <r>
      <rPr>
        <rFont val="Arial"/>
        <b val="0"/>
        <color rgb="FF000000"/>
      </rPr>
      <t>high visual drive in upper and some lower chs. better effort from West today on task, except for calib 5x5; she began waiting for easier targets</t>
    </r>
  </si>
  <si>
    <t>3/20/2024</t>
  </si>
  <si>
    <r>
      <rPr>
        <rFont val="Arial"/>
        <b/>
        <color theme="1"/>
      </rPr>
      <t xml:space="preserve">ballroom neural_stim_4 (familiar scenes); </t>
    </r>
    <r>
      <rPr>
        <rFont val="Arial"/>
        <b val="0"/>
        <color theme="1"/>
      </rPr>
      <t xml:space="preserve">the probe seemed quieter than previous days in this location. visual drive pattens similar. better effort on calib 5x5; increased reward duration from 350ms to 525ms. </t>
    </r>
  </si>
  <si>
    <t>3/21/2024</t>
  </si>
  <si>
    <r>
      <rPr>
        <rFont val="Arial"/>
        <b/>
        <color rgb="FF000000"/>
      </rPr>
      <t xml:space="preserve">testing_neural_stim_5_08; </t>
    </r>
    <r>
      <rPr>
        <rFont val="Arial"/>
        <b val="0"/>
        <color rgb="FF000000"/>
      </rPr>
      <t xml:space="preserve">good visual drive in upper and some lower chs. activity seemed low at first but gradually increased after settling. possibly some minor pump noise on some channels </t>
    </r>
  </si>
  <si>
    <t>3/22/2024</t>
  </si>
  <si>
    <r>
      <rPr>
        <rFont val="Arial"/>
        <b/>
        <color rgb="FF000000"/>
      </rPr>
      <t xml:space="preserve">ran manipulated faces (IssaDIcarlo task)(+Marmoset faces); </t>
    </r>
    <r>
      <rPr>
        <rFont val="Arial"/>
        <b val="0"/>
        <color rgb="FF000000"/>
      </rPr>
      <t>good activity, good visual drive in upper and lower chs. West was sleepy but performed decently. cut some macaque face files in last block.</t>
    </r>
  </si>
  <si>
    <t>3/25/2024</t>
  </si>
  <si>
    <r>
      <rPr>
        <rFont val="Arial"/>
        <b/>
        <color rgb="FF000000"/>
      </rPr>
      <t xml:space="preserve">ran natural images/Elias Neptune; </t>
    </r>
    <r>
      <rPr>
        <rFont val="Arial"/>
        <b val="0"/>
        <color rgb="FF000000"/>
      </rPr>
      <t xml:space="preserve">good activity and drive throughout probe. drive esp good in upper chs. tip possibly quieter than previous recording. </t>
    </r>
  </si>
  <si>
    <t>3/26/2024</t>
  </si>
  <si>
    <r>
      <rPr>
        <rFont val="Arial"/>
        <b/>
        <color rgb="FF000000"/>
      </rPr>
      <t xml:space="preserve">ran natural images/Elias Neptune; </t>
    </r>
    <r>
      <rPr>
        <rFont val="Arial"/>
        <b val="0"/>
        <color rgb="FF000000"/>
      </rPr>
      <t xml:space="preserve">activity started quiet but increased over time. good visual drive in upper chs. not sure on lower chs. West was sleepy but made an effort while awake. </t>
    </r>
  </si>
  <si>
    <t>3/28/2024</t>
  </si>
  <si>
    <t>4/1/2024</t>
  </si>
  <si>
    <t>02.3, 06.2</t>
  </si>
  <si>
    <t>-00.3, -00.4</t>
  </si>
  <si>
    <r>
      <rPr>
        <rFont val="Arial"/>
        <b/>
        <color rgb="FF000000"/>
      </rPr>
      <t xml:space="preserve">ran manipulated faces (IssaDIcarlo task)(+Marmoset faces); </t>
    </r>
    <r>
      <rPr>
        <rFont val="Arial"/>
        <b val="0"/>
        <color rgb="FF000000"/>
      </rPr>
      <t>visual drive in upper probe. activity throughout probe. started a little late, cut down on trials since West's effort dropped. tip of probe dulling? switched to 4090 gpu.</t>
    </r>
  </si>
  <si>
    <t>4/3/2024</t>
  </si>
  <si>
    <t>65.0</t>
  </si>
  <si>
    <r>
      <rPr>
        <rFont val="Arial"/>
        <b/>
        <color rgb="FF000000"/>
      </rPr>
      <t xml:space="preserve">ran natural images/Elias Neptune; </t>
    </r>
    <r>
      <rPr>
        <rFont val="Arial"/>
        <b val="0"/>
        <color rgb="FF000000"/>
      </rPr>
      <t>activity throughout probe but a bit quiet. visual drive in upper chs. latency drifting from 30s to 40s. occasional pump noise during late recording?</t>
    </r>
  </si>
  <si>
    <t>4/4/2024</t>
  </si>
  <si>
    <t>02.1, 06.2</t>
  </si>
  <si>
    <r>
      <rPr>
        <rFont val="Arial"/>
        <b/>
        <color rgb="FF000000"/>
      </rPr>
      <t xml:space="preserve">ran manipulated faces (IssaDIcarlo task)(+ searchstim3); </t>
    </r>
    <r>
      <rPr>
        <rFont val="Arial"/>
        <b val="0"/>
        <color rgb="FF000000"/>
      </rPr>
      <t xml:space="preserve">visual drive in upper chs, good activity. quieter in lower chs and unclear if there's visual drive there. minor pump noise could not be reduced.  </t>
    </r>
  </si>
  <si>
    <t>4/5/2024</t>
  </si>
  <si>
    <t>02.45, 06.2</t>
  </si>
  <si>
    <t>-00.15, -00.4</t>
  </si>
  <si>
    <r>
      <rPr>
        <rFont val="Arial"/>
        <b/>
        <color theme="1"/>
      </rPr>
      <t xml:space="preserve">ran manipulated faces (IssaDIcarlo task)(+ searchstim3); </t>
    </r>
    <r>
      <rPr>
        <rFont val="Arial"/>
        <color theme="1"/>
      </rPr>
      <t xml:space="preserve">visual drive in upper chs. activity throughout probe increased over time. </t>
    </r>
  </si>
  <si>
    <t>4/8/2024</t>
  </si>
  <si>
    <t>E6</t>
  </si>
  <si>
    <r>
      <rPr>
        <rFont val="Arial"/>
        <b/>
        <color theme="1"/>
      </rPr>
      <t xml:space="preserve">ran E6 neural_stim_5 (day 1); </t>
    </r>
    <r>
      <rPr>
        <rFont val="Arial"/>
        <color theme="1"/>
      </rPr>
      <t>visual drive in upper chs. good activity throughout the probe. gap between IT and HC. activity increased over time. DEF new backgrounds weren't shown in first 100 RSVP66 trials. added ballroom to polyhaven imagebag (imageidx: 222)</t>
    </r>
  </si>
  <si>
    <t>4/9/2024</t>
  </si>
  <si>
    <t>7600</t>
  </si>
  <si>
    <r>
      <rPr>
        <rFont val="Arial"/>
        <b/>
        <color rgb="FF000000"/>
      </rPr>
      <t xml:space="preserve">ran E6 neural_stim_5 (day 2); </t>
    </r>
    <r>
      <rPr>
        <rFont val="Arial"/>
        <b val="0"/>
        <color rgb="FF000000"/>
      </rPr>
      <t xml:space="preserve">similar drive in IT, similar activity throughout the probe. West was sleepy. </t>
    </r>
  </si>
  <si>
    <t>4/10/2024</t>
  </si>
  <si>
    <r>
      <rPr>
        <rFont val="Arial"/>
        <b/>
        <color rgb="FF000000"/>
      </rPr>
      <t xml:space="preserve">ran E6 neural_stim_5 (day 1); </t>
    </r>
    <r>
      <rPr>
        <rFont val="Arial"/>
        <b val="0"/>
        <color rgb="FF000000"/>
      </rPr>
      <t xml:space="preserve">visual drive in upper chs, unclear for lower chs. activity increased over time, slightly less active than previous recordings at a shallower angle. activity throughout probe. </t>
    </r>
  </si>
  <si>
    <t>4/11/2024</t>
  </si>
  <si>
    <t>7300</t>
  </si>
  <si>
    <r>
      <rPr>
        <rFont val="Arial"/>
        <b/>
        <color rgb="FF000000"/>
      </rPr>
      <t xml:space="preserve">ran E6 neural_stim_5 (day 2); </t>
    </r>
    <r>
      <rPr>
        <rFont val="Arial"/>
        <b val="0"/>
        <color rgb="FF000000"/>
      </rPr>
      <t>visual drive in upper chs. again not sure if there’s drive in lower bank. West fell asleep during first freeview, had trouble staying awake as the experiment went on. she was lazy on 5x5 calib</t>
    </r>
  </si>
  <si>
    <t>4/12/2024</t>
  </si>
  <si>
    <t>6550</t>
  </si>
  <si>
    <r>
      <rPr>
        <rFont val="Arial"/>
        <b/>
        <color rgb="FF000000"/>
      </rPr>
      <t xml:space="preserve">ran E6 neural_stim_5 (day 1); </t>
    </r>
    <r>
      <rPr>
        <rFont val="Arial"/>
        <b val="0"/>
        <color rgb="FF000000"/>
      </rPr>
      <t>visual drive on upper chs and possibly some lower chs. sparse IT units. activity not very high. small gap b/t IT and PH?</t>
    </r>
  </si>
  <si>
    <t>4/16/2024</t>
  </si>
  <si>
    <r>
      <rPr>
        <rFont val="Arial"/>
        <b/>
        <color rgb="FF000000"/>
      </rPr>
      <t>ran E6 neural_stim_5 (day 1); g</t>
    </r>
    <r>
      <rPr>
        <rFont val="Arial"/>
        <b val="0"/>
        <color rgb="FF000000"/>
      </rPr>
      <t>ap between IT and hipp, overall high activity throughout the probe. visual drive in upper chs but hard to tell since activity is so high. not clear if drive is elsewhere. West worked well and didn't take many breaks</t>
    </r>
  </si>
  <si>
    <t>4/17/2024</t>
  </si>
  <si>
    <t>00.7, -00.4</t>
  </si>
  <si>
    <t>65.1</t>
  </si>
  <si>
    <r>
      <rPr>
        <rFont val="Arial"/>
        <b/>
        <color rgb="FF000000"/>
      </rPr>
      <t>ran E6 neural_stim_5 (day 1); v</t>
    </r>
    <r>
      <rPr>
        <rFont val="Arial"/>
        <b val="0"/>
        <color rgb="FF000000"/>
      </rPr>
      <t xml:space="preserve">isual drive in upper chs, difficult to detect drive in TF/TH. some minor pump noise -- tried to reduce and it may have gotten better. difficult to keep West awake. </t>
    </r>
  </si>
  <si>
    <t>4/18/2024</t>
  </si>
  <si>
    <t>00.25, 07.2</t>
  </si>
  <si>
    <t>00.25, -00.8</t>
  </si>
  <si>
    <r>
      <rPr>
        <rFont val="Arial"/>
        <b/>
        <color rgb="FF000000"/>
      </rPr>
      <t xml:space="preserve">ran E6 neural_stim_5 (day 1); </t>
    </r>
    <r>
      <rPr>
        <rFont val="Arial"/>
        <b val="0"/>
        <color rgb="FF000000"/>
      </rPr>
      <t xml:space="preserve">band of high activity between ~chs 148-284. visual drive?? activity spare in upper bank but goes to at least ch81. </t>
    </r>
  </si>
  <si>
    <t>4/19/2024</t>
  </si>
  <si>
    <r>
      <rPr>
        <rFont val="Arial"/>
        <b/>
        <color rgb="FF000000"/>
      </rPr>
      <t xml:space="preserve">ran manipulated faces (IssaDIcarlo task)(+ searchstim3); </t>
    </r>
    <r>
      <rPr>
        <rFont val="Arial"/>
        <b val="0"/>
        <color rgb="FF000000"/>
      </rPr>
      <t xml:space="preserve">cut down on 2D trials and increased 3D trials. visual drive in most areas. pretty quiet below ch30. activity through ~ch330. West stayed surprisingly alert. </t>
    </r>
  </si>
  <si>
    <t>5/8/2024</t>
  </si>
  <si>
    <t>5/24/2024</t>
  </si>
  <si>
    <t>silastic replaced. red spot in H00 at ~3 o'clock</t>
  </si>
  <si>
    <t>5/28/2024</t>
  </si>
  <si>
    <r>
      <rPr>
        <rFont val="Arial"/>
        <b/>
        <color rgb="FF000000"/>
      </rPr>
      <t xml:space="preserve">neural_stim_4 (familiar scenes); </t>
    </r>
    <r>
      <rPr>
        <rFont val="Arial"/>
        <b val="0"/>
        <color rgb="FF000000"/>
      </rPr>
      <t xml:space="preserve">activity sparser than usual. visual drive in some upper chs. unclear in lower chs. West did just fine for her first day back in over a month. </t>
    </r>
  </si>
  <si>
    <t>5/29/2024</t>
  </si>
  <si>
    <t>02.3, 06.4</t>
  </si>
  <si>
    <t>-00.3, -00.2</t>
  </si>
  <si>
    <r>
      <rPr>
        <rFont val="Arial"/>
        <b/>
        <color rgb="FF000000"/>
      </rPr>
      <t xml:space="preserve">ballroom neural_stim_4 (familiar scenes); </t>
    </r>
    <r>
      <rPr>
        <rFont val="Arial"/>
        <b val="0"/>
        <color rgb="FF000000"/>
      </rPr>
      <t>most activity concentrated in superficial chs where visual drive is detectable. throughout lower bank activity sparse and quieter, not sure if there's visual drive here. may be minor pump noise?</t>
    </r>
  </si>
  <si>
    <t>5/30/2024</t>
  </si>
  <si>
    <t>-00.3, 00.0</t>
  </si>
  <si>
    <t>64.8</t>
  </si>
  <si>
    <r>
      <rPr>
        <rFont val="Arial"/>
        <b/>
        <color rgb="FF000000"/>
      </rPr>
      <t xml:space="preserve">CamelElephant_BaselFaces; </t>
    </r>
    <r>
      <rPr>
        <rFont val="Arial"/>
        <b val="0"/>
        <color rgb="FF000000"/>
      </rPr>
      <t>better activity today, highest activity in upper chs and although sparse in lower bank there were still units. highest activity in chs61-232. Activity through ch173. visual drive in upper chs and possibly some lower chs</t>
    </r>
  </si>
  <si>
    <t>5/31/2024</t>
  </si>
  <si>
    <r>
      <rPr>
        <rFont val="Arial"/>
        <b/>
        <color theme="1"/>
      </rPr>
      <t xml:space="preserve">updated E3 with 2D and 3D sophie faces, searchstim3, FB0P28; </t>
    </r>
    <r>
      <rPr>
        <rFont val="Arial"/>
        <color theme="1"/>
      </rPr>
      <t>high activity throughout the probe and clear visual drive. didn't have to go very deep at this steep an angle. West got sleepy toward the end but her performance wasn't bad</t>
    </r>
  </si>
  <si>
    <t>6/3/2024</t>
  </si>
  <si>
    <t>02.15, 06.5</t>
  </si>
  <si>
    <t>-00.45, -00.1</t>
  </si>
  <si>
    <r>
      <rPr>
        <rFont val="Arial"/>
        <b/>
        <color rgb="FF000000"/>
      </rPr>
      <t xml:space="preserve">updated E3 with 2D and 3D sophie faces, searchstim3, FB0P28; </t>
    </r>
    <r>
      <rPr>
        <rFont val="Arial"/>
        <b val="0"/>
        <color rgb="FF000000"/>
      </rPr>
      <t xml:space="preserve">06.5 was as ventral as I was able to record without the probe bending. good activity throughout, up through ~ch360. clear visual drive. West worked well. </t>
    </r>
  </si>
  <si>
    <t>6/4/2024</t>
  </si>
  <si>
    <t>02.875, 06.15</t>
  </si>
  <si>
    <t>00.275, -00.45</t>
  </si>
  <si>
    <r>
      <rPr>
        <rFont val="Arial"/>
        <b/>
        <color rgb="FF000000"/>
      </rPr>
      <t xml:space="preserve">neural_stim_4 (familiar scenes); </t>
    </r>
    <r>
      <rPr>
        <rFont val="Arial"/>
        <b val="0"/>
        <color rgb="FF000000"/>
      </rPr>
      <t xml:space="preserve">good activity throughout the probe, up to ~upper ch50. sparse from lower ch100-0 but units still present. visual drive in upper, high activity chs. not clear in lower chs? extra trials </t>
    </r>
  </si>
  <si>
    <t>6/5/2024</t>
  </si>
  <si>
    <t>02.9, 06.2</t>
  </si>
  <si>
    <t>00.3, -00.4</t>
  </si>
  <si>
    <r>
      <rPr>
        <rFont val="Arial"/>
        <b/>
        <color rgb="FF000000"/>
      </rPr>
      <t xml:space="preserve">ballroom neural_stim_4 (familiar scenes); </t>
    </r>
    <r>
      <rPr>
        <rFont val="Arial"/>
        <b val="0"/>
        <color rgb="FF000000"/>
      </rPr>
      <t xml:space="preserve">activity through ~upper ch170. </t>
    </r>
    <r>
      <rPr>
        <rFont val="Arial"/>
        <b/>
        <color rgb="FF000000"/>
      </rPr>
      <t>d</t>
    </r>
    <r>
      <rPr>
        <rFont val="Arial"/>
        <b val="0"/>
        <color rgb="FF000000"/>
      </rPr>
      <t xml:space="preserve">ense activity between chs7-300. quieter in deepest 80 chs. clear visual drive from ch149-169. Drive in the mid, dense activity chs too, not clear what’s driving activity in the lower chs. 
</t>
    </r>
  </si>
  <si>
    <t>6/6/2024</t>
  </si>
  <si>
    <r>
      <rPr>
        <rFont val="Arial"/>
        <b/>
        <color rgb="FF000000"/>
      </rPr>
      <t xml:space="preserve">ran E6 neural_stim_5 (day 1); </t>
    </r>
    <r>
      <rPr>
        <rFont val="Arial"/>
        <b val="0"/>
        <color rgb="FF000000"/>
      </rPr>
      <t>activity up through upper ch160 at least. cluster of high amp spikes from upper ch77-125 – hard to detect visual drive here since baseline activity is so high. somewhat of a gap between lower ch380-220. quiet from ~ch40-tip. drive in some deeper chs</t>
    </r>
  </si>
  <si>
    <t>6/7/2024</t>
  </si>
  <si>
    <r>
      <rPr>
        <rFont val="Arial"/>
        <b/>
        <color rgb="FF000000"/>
      </rPr>
      <t xml:space="preserve">ran E6 neural_stim_5 (day 2); </t>
    </r>
    <r>
      <rPr>
        <rFont val="Arial"/>
        <b val="0"/>
        <color rgb="FF000000"/>
      </rPr>
      <t>very similar pattern of activity/drive throughout probe. dense and high activity from upper ch85-133, gap from ~lower ch240-383. pretty quiet in lower 50chs</t>
    </r>
  </si>
  <si>
    <t>6/10/2024</t>
  </si>
  <si>
    <r>
      <rPr>
        <rFont val="Arial"/>
        <b/>
        <color rgb="FF000000"/>
      </rPr>
      <t xml:space="preserve">CamelElephant_BaselFaces; </t>
    </r>
    <r>
      <rPr>
        <rFont val="Arial"/>
        <b val="0"/>
        <color rgb="FF000000"/>
      </rPr>
      <t>good activity throughout the probe – quieter in the deeper half but still good units. clear visual drive, except maybe not in the deepest channels. activity filled out in the superficial channels</t>
    </r>
  </si>
  <si>
    <t>6/26/2024</t>
  </si>
  <si>
    <t>craniotomy H02 performed</t>
  </si>
  <si>
    <t>6/27/2024</t>
  </si>
  <si>
    <t>6/28/24</t>
  </si>
  <si>
    <t xml:space="preserve">silastic replaced after west's motor control was affected </t>
  </si>
  <si>
    <t>7/2/2024</t>
  </si>
  <si>
    <t>H02</t>
  </si>
  <si>
    <t>05.25, 05.1</t>
  </si>
  <si>
    <t>6750</t>
  </si>
  <si>
    <r>
      <rPr>
        <rFont val="Arial"/>
        <b/>
        <color rgb="FF000000"/>
      </rPr>
      <t xml:space="preserve">neural_stim_4 (familiar scenes); </t>
    </r>
    <r>
      <rPr>
        <rFont val="Arial"/>
        <b val="0"/>
        <color rgb="FF000000"/>
      </rPr>
      <t xml:space="preserve">mimal activiy where IT should be, not sure if any chs contain spikes. possibly HC from ch383 (lower bank) to tip. gap from ch227 - 120, then again from 88 - 0. could upper chs of lower bank be IT?? possibly some visual drive here. </t>
    </r>
  </si>
  <si>
    <t>7/3/2024</t>
  </si>
  <si>
    <t>06.15, 05.1</t>
  </si>
  <si>
    <t>7000</t>
  </si>
  <si>
    <r>
      <rPr>
        <rFont val="Arial"/>
        <b/>
        <color rgb="FF000000"/>
      </rPr>
      <t xml:space="preserve">ballroom neural_stim_4 (familiar scenes); </t>
    </r>
    <r>
      <rPr>
        <rFont val="Arial"/>
        <b val="0"/>
        <color rgb="FF000000"/>
      </rPr>
      <t xml:space="preserve">high activity in lower bank from ch112 - tip; gap from ~ch280-112. lower activity between upper and lower bank. visual drive not clear. pump noise persisted throughout the session. </t>
    </r>
    <r>
      <rPr>
        <rFont val="Arial"/>
        <b/>
        <color rgb="FF000000"/>
      </rPr>
      <t>probe broke just after starting to retract; it remained physically intact but was bent upward</t>
    </r>
  </si>
  <si>
    <t>7/5/2024</t>
  </si>
  <si>
    <r>
      <rPr>
        <rFont val="Arial"/>
        <b/>
        <color rgb="FF000000"/>
      </rPr>
      <t xml:space="preserve">neural_stim_4 (familiar scenes); </t>
    </r>
    <r>
      <rPr>
        <rFont val="Arial"/>
        <b val="0"/>
        <color rgb="FF000000"/>
      </rPr>
      <t>first spikes at ~2800, acticity throughout the probe up until ~ch300. visual drive not very obvious, but good activity; activity incresed in upper chs over the session. shallower recording to be safe after breaking the last probe</t>
    </r>
  </si>
  <si>
    <t>8 (3 of box 2)</t>
  </si>
  <si>
    <t>silastic replaced (make shallower)</t>
  </si>
  <si>
    <t>7/8/2024</t>
  </si>
  <si>
    <t>05.95, 05.1</t>
  </si>
  <si>
    <r>
      <rPr>
        <rFont val="Arial"/>
        <b/>
        <color rgb="FF000000"/>
      </rPr>
      <t xml:space="preserve">neural_stim_4 (familiar scenes); </t>
    </r>
    <r>
      <rPr>
        <rFont val="Arial"/>
        <b val="0"/>
        <color rgb="FF000000"/>
      </rPr>
      <t xml:space="preserve">Activity up through ~upper bank ch90. Gap in lower bank from ch300-160, high activity areas throughout the remaining chs, especially from 160-tip. Visual drive in upper and lower chs, have to look/listen carefully to detect </t>
    </r>
  </si>
  <si>
    <t>7/9/2024</t>
  </si>
  <si>
    <t>04.55, 05.1</t>
  </si>
  <si>
    <t>-00.7, -00.5</t>
  </si>
  <si>
    <t>6700</t>
  </si>
  <si>
    <r>
      <rPr>
        <rFont val="Arial"/>
        <b/>
        <color rgb="FF000000"/>
      </rPr>
      <t xml:space="preserve">ballroom neural_stim_4 (familiar scenes); </t>
    </r>
    <r>
      <rPr>
        <rFont val="Arial"/>
        <b val="0"/>
        <color rgb="FF000000"/>
      </rPr>
      <t>activity up through upper ch70? good activity throughout the probe. 3 separate areas of higher activity, similar to previous recordings in this hole. subtle visual drive</t>
    </r>
  </si>
  <si>
    <t>7/10/2024</t>
  </si>
  <si>
    <r>
      <rPr>
        <rFont val="Arial"/>
        <b/>
        <color rgb="FF000000"/>
      </rPr>
      <t xml:space="preserve">CamelElephant_BaselFaces; </t>
    </r>
    <r>
      <rPr>
        <rFont val="Arial"/>
        <b val="0"/>
        <color rgb="FF000000"/>
      </rPr>
      <t>activity throughout the probe, up to at least upper bank ch90. gap from ~lower ch311-188, similar to the last recording in this location. highest activity area from 188-tip. visual drive??</t>
    </r>
  </si>
  <si>
    <t>7/12/2024</t>
  </si>
  <si>
    <r>
      <rPr>
        <rFont val="Arial"/>
        <b/>
        <color rgb="FF000000"/>
      </rPr>
      <t>ran E6 neural_stim_5 (day 1);</t>
    </r>
    <r>
      <rPr>
        <rFont val="Arial"/>
        <b val="0"/>
        <color rgb="FF000000"/>
      </rPr>
      <t xml:space="preserve"> Similar activity patterns as previous recordings in this location, activity during task similar as well, hard to detect visual drive; less activity near tip? </t>
    </r>
  </si>
  <si>
    <t>7/16/2024</t>
  </si>
  <si>
    <t>5070</t>
  </si>
  <si>
    <r>
      <rPr>
        <rFont val="Arial"/>
        <b/>
        <color rgb="FF000000"/>
      </rPr>
      <t xml:space="preserve">neural_stim_4 (familiar scenes); </t>
    </r>
    <r>
      <rPr>
        <rFont val="Arial"/>
        <b val="0"/>
        <color rgb="FF000000"/>
      </rPr>
      <t>visual drive in upper chs, clearer than in other recordings from this hole, in upper &amp; lower chs. maxed out depth on manipulator, probably would have stopped here regardless. (reaching this hole is more difficult at 40 deg). activity up to at least ch275</t>
    </r>
  </si>
  <si>
    <t>7/17/2024</t>
  </si>
  <si>
    <t>04.55, 05.0</t>
  </si>
  <si>
    <t>-00.7, -00.6</t>
  </si>
  <si>
    <r>
      <rPr>
        <rFont val="Arial"/>
        <b/>
        <color rgb="FF000000"/>
      </rPr>
      <t xml:space="preserve">ballroom neural_stim_4 (familiar scenes); </t>
    </r>
    <r>
      <rPr>
        <rFont val="Arial"/>
        <b val="0"/>
        <color rgb="FF000000"/>
      </rPr>
      <t>less activity overall but there are definitely units; filled in quite a bit over time; visual drive in upper chs, seems to be in some lower chs too. activity up through at least ch307</t>
    </r>
  </si>
  <si>
    <t>7/18/2024</t>
  </si>
  <si>
    <t>05.95, 04.9</t>
  </si>
  <si>
    <t>00.7, -00.7</t>
  </si>
  <si>
    <r>
      <rPr>
        <rFont val="Arial"/>
        <b/>
        <color rgb="FF000000"/>
      </rPr>
      <t xml:space="preserve">neural_stim_4 (familiar scenes); </t>
    </r>
    <r>
      <rPr>
        <rFont val="Arial"/>
        <b val="0"/>
        <color rgb="FF000000"/>
      </rPr>
      <t>pretty good activity throughout the probe for this hole (more appeared over time) up through at least ch359. visual drive in some upper chs (319)</t>
    </r>
  </si>
  <si>
    <t>7/19/2024</t>
  </si>
  <si>
    <r>
      <rPr>
        <rFont val="Arial"/>
        <b/>
        <color rgb="FF000000"/>
      </rPr>
      <t>ballroom neural_stim_4 (familiar scenes); p</t>
    </r>
    <r>
      <rPr>
        <rFont val="Arial"/>
        <b val="0"/>
        <color rgb="FF000000"/>
      </rPr>
      <t>ump noise in some chs. visal drive not very obvious, baseline activity high in areas  good activity throughout the probe, spikes up to at least ch339. more activity did populate the upper chs, but dense bands still only in the lower half</t>
    </r>
  </si>
  <si>
    <t>7/22/2024</t>
  </si>
  <si>
    <r>
      <rPr>
        <rFont val="Arial"/>
        <b/>
        <color rgb="FF000000"/>
      </rPr>
      <t xml:space="preserve">CamelElephant_BaselFaces; </t>
    </r>
    <r>
      <rPr>
        <rFont val="Arial"/>
        <b val="0"/>
        <color rgb="FF000000"/>
      </rPr>
      <t xml:space="preserve">pump noise present, I tried to reduce it but it persisted. LFP chs don’t look bad. activity similar to previous recording, except the dense bands of activity in the lower portion on the probe are stronger on one side </t>
    </r>
  </si>
  <si>
    <t>7/23/2024</t>
  </si>
  <si>
    <r>
      <rPr>
        <rFont val="Arial"/>
        <b/>
        <color rgb="FF000000"/>
      </rPr>
      <t xml:space="preserve">ran E6 neural_stim_5 (day 1); </t>
    </r>
    <r>
      <rPr>
        <rFont val="Arial"/>
        <b val="0"/>
        <color rgb="FF000000"/>
      </rPr>
      <t xml:space="preserve">some pump noise but not as bad as yesterday; good activity, mostly on both sides of the probe. spikes up to at least ch357. visual drive in ch20s, upper chs? </t>
    </r>
  </si>
  <si>
    <t>7/24/2024</t>
  </si>
  <si>
    <r>
      <rPr>
        <rFont val="Arial"/>
        <b/>
        <color rgb="FF000000"/>
      </rPr>
      <t xml:space="preserve">training neural_stim_5_10; </t>
    </r>
    <r>
      <rPr>
        <rFont val="Arial"/>
        <b val="0"/>
        <color rgb="FF000000"/>
      </rPr>
      <t>good activity throughout the probe, similar to yesterday’s recording, though superficial-most spikes may not show up; no noise detected. some visual drive</t>
    </r>
  </si>
  <si>
    <t>7/25/2024</t>
  </si>
  <si>
    <r>
      <rPr>
        <rFont val="Arial"/>
        <b/>
        <color rgb="FF000000"/>
      </rPr>
      <t xml:space="preserve">training neural_stim_5_10; </t>
    </r>
    <r>
      <rPr>
        <rFont val="Arial"/>
        <b val="0"/>
        <color rgb="FF000000"/>
      </rPr>
      <t xml:space="preserve">pump noise very faint. similar activity &amp; visual drive. </t>
    </r>
  </si>
  <si>
    <t>7/26/2024</t>
  </si>
  <si>
    <r>
      <rPr>
        <rFont val="Arial"/>
        <b/>
        <color theme="1"/>
      </rPr>
      <t xml:space="preserve">testing neural_stim_5_10; *****session is broken up into 2 recordings (SpikeGLX glitch)***; </t>
    </r>
    <r>
      <rPr>
        <rFont val="Arial"/>
        <b val="0"/>
        <color theme="1"/>
      </rPr>
      <t>minimal pump noise; activity up to at least ch319. west was a bit lazy with calibration</t>
    </r>
  </si>
  <si>
    <t>7/31/2024</t>
  </si>
  <si>
    <r>
      <rPr>
        <rFont val="Arial"/>
        <b/>
        <color rgb="FF000000"/>
      </rPr>
      <t xml:space="preserve">testing neural_stim_5_10; </t>
    </r>
    <r>
      <rPr>
        <rFont val="Arial"/>
        <b val="0"/>
        <color rgb="FF000000"/>
      </rPr>
      <t xml:space="preserve">slightly less activity throughout the probe? some visual drive. no noise detected. West kept falling asleep after the first block. she also struggled again with calibration  </t>
    </r>
  </si>
  <si>
    <t>8/1/2024</t>
  </si>
  <si>
    <t>04.9, 04.9</t>
  </si>
  <si>
    <t>-00.35, -00.7</t>
  </si>
  <si>
    <r>
      <rPr>
        <rFont val="Arial"/>
        <b/>
        <color rgb="FF000000"/>
      </rPr>
      <t xml:space="preserve">ballroom neural_stim_4 (familiar scenes); </t>
    </r>
    <r>
      <rPr>
        <rFont val="Arial"/>
        <b val="0"/>
        <color rgb="FF000000"/>
      </rPr>
      <t xml:space="preserve">dense band of activity from ch128-210. activity throughout probe, small spikes on 383 appeared as the session went on. band of activity from ch22-58, some spikes too in chs 0-10. visual drive in upper and lower chs, not obvious in mid section. struggled to make it through calibraiton </t>
    </r>
  </si>
  <si>
    <t>8/2/2024</t>
  </si>
  <si>
    <r>
      <rPr>
        <rFont val="Arial"/>
        <b/>
        <color rgb="FF000000"/>
      </rPr>
      <t>ran natural images/Elias Neptune; s</t>
    </r>
    <r>
      <rPr>
        <rFont val="Arial"/>
        <b val="0"/>
        <color rgb="FF000000"/>
      </rPr>
      <t>imilar activity patterns as yesterday. drive in upper chs, drive in mid channels? seems like it (ch164 – this became clearer during natural images). superficial-most spikes not present today</t>
    </r>
  </si>
  <si>
    <t>8/5/2024</t>
  </si>
  <si>
    <t>04.65, 05.1</t>
  </si>
  <si>
    <t>-00.6, -00.5</t>
  </si>
  <si>
    <r>
      <rPr>
        <rFont val="Arial"/>
        <b/>
        <color rgb="FF000000"/>
      </rPr>
      <t xml:space="preserve">neural_stim_4 (familiar scenes); </t>
    </r>
    <r>
      <rPr>
        <rFont val="Arial"/>
        <b val="0"/>
        <color rgb="FF000000"/>
      </rPr>
      <t>unable to record 100u more posterior since the probe started bending there. good activity throughout the probe, spikes up through ch350s. visual drive in mid and upper chs, possobly in lower. West did extras trials</t>
    </r>
  </si>
  <si>
    <t>8/6/2024</t>
  </si>
  <si>
    <r>
      <rPr>
        <rFont val="Arial"/>
        <b/>
        <color rgb="FF000000"/>
      </rPr>
      <t xml:space="preserve">CamelElephant_BaselFaces; </t>
    </r>
    <r>
      <rPr>
        <rFont val="Arial"/>
        <b val="0"/>
        <color rgb="FF000000"/>
      </rPr>
      <t xml:space="preserve">spikes up to ch340 after settling, before task. good activity again throughout probe, similar activity patterns/drive as yesterday. upper spikes more faint? </t>
    </r>
  </si>
  <si>
    <t>8/7/2024</t>
  </si>
  <si>
    <t>7350</t>
  </si>
  <si>
    <r>
      <rPr>
        <rFont val="Arial"/>
        <b/>
        <color rgb="FF000000"/>
      </rPr>
      <t>ballroom neural_stim_4 (familiar scenes);</t>
    </r>
    <r>
      <rPr>
        <rFont val="Arial"/>
        <b val="0"/>
        <color rgb="FF000000"/>
      </rPr>
      <t xml:space="preserve"> visual drive in upper chs (165) but not as clear elsewhere. minor pump noise on some chs spikes up to about upper ch194</t>
    </r>
  </si>
  <si>
    <t>8/8/2024</t>
  </si>
  <si>
    <r>
      <rPr>
        <rFont val="Arial"/>
        <b/>
        <color rgb="FF000000"/>
      </rPr>
      <t xml:space="preserve">ran E6 neural_stim_5 (day 1); </t>
    </r>
    <r>
      <rPr>
        <rFont val="Arial"/>
        <b val="0"/>
        <color rgb="FF000000"/>
      </rPr>
      <t>spikes up to at least ch181; similar separate groups of activity as yesterday. visual drive in superficial chs (e.g., ch25 upper bank), and deepest chs? not clear on mid chs.</t>
    </r>
  </si>
  <si>
    <t>8/9/2024</t>
  </si>
  <si>
    <t>7450</t>
  </si>
  <si>
    <r>
      <rPr>
        <rFont val="Arial"/>
        <b/>
        <color rgb="FF000000"/>
      </rPr>
      <t xml:space="preserve">ran natural images/Elias Neptune; </t>
    </r>
    <r>
      <rPr>
        <rFont val="Arial"/>
        <b val="0"/>
        <color rgb="FF000000"/>
      </rPr>
      <t>slight pump noise on some chs. again, similar activity/drive as previous days. spikes up to at least ch190 (upper bank)</t>
    </r>
  </si>
  <si>
    <t>8/12/2024</t>
  </si>
  <si>
    <t>05.6, 05.1</t>
  </si>
  <si>
    <t>00.35, -00.5</t>
  </si>
  <si>
    <r>
      <rPr>
        <rFont val="Arial"/>
        <b/>
        <color rgb="FF000000"/>
      </rPr>
      <t xml:space="preserve">neural_stim_4 (familiar scenes); </t>
    </r>
    <r>
      <rPr>
        <rFont val="Arial"/>
        <b val="0"/>
        <color rgb="FF000000"/>
      </rPr>
      <t>good activity throughout the probe. two separate thick bands of activity in the mid to lower probe area, smaller spikes at the top. visual drive. activity increased over time, spikes up to at least ch375. no spikes on the upper bank before switching to regular config</t>
    </r>
  </si>
  <si>
    <t>8/13/2024</t>
  </si>
  <si>
    <t>05.9, 05.1</t>
  </si>
  <si>
    <t>00.65, -00.5</t>
  </si>
  <si>
    <t>20.0</t>
  </si>
  <si>
    <r>
      <rPr>
        <rFont val="Arial"/>
        <b/>
        <color rgb="FF000000"/>
      </rPr>
      <t xml:space="preserve">ballroom neural_stim_4 (familiar scenes); </t>
    </r>
    <r>
      <rPr>
        <rFont val="Arial"/>
        <b val="0"/>
        <color rgb="FF000000"/>
      </rPr>
      <t xml:space="preserve">should reach AP of ~7.9 at deepest point. visual drive in upper bank (e.g., ch45, 65); not very clear in the lower bank. three separate areas of activity </t>
    </r>
  </si>
  <si>
    <t>8/14/2024</t>
  </si>
  <si>
    <r>
      <rPr>
        <rFont val="Arial"/>
        <b/>
        <color rgb="FF000000"/>
      </rPr>
      <t xml:space="preserve">CamelElephant_BaselFaces; </t>
    </r>
    <r>
      <rPr>
        <rFont val="Arial"/>
        <b val="0"/>
        <color rgb="FF000000"/>
      </rPr>
      <t xml:space="preserve">spikes up to at least ch141 of upper bank. initial calibration wasn't great so recalibrated after starting. adjusted the IR light too and she did much better. </t>
    </r>
    <r>
      <rPr>
        <rFont val="Arial"/>
        <b/>
        <color rgb="FF000000"/>
      </rPr>
      <t>c</t>
    </r>
    <r>
      <rPr>
        <rFont val="Arial"/>
        <b val="0"/>
        <color rgb="FF000000"/>
      </rPr>
      <t xml:space="preserve">lear visual drive on some lower bank ch 31. slight pump noise on quieter chs </t>
    </r>
  </si>
  <si>
    <t>8/15/2024</t>
  </si>
  <si>
    <r>
      <rPr>
        <rFont val="Arial"/>
        <b/>
        <color rgb="FF000000"/>
      </rPr>
      <t xml:space="preserve">ran E6 neural_stim_5 (day 1); </t>
    </r>
    <r>
      <rPr>
        <rFont val="Arial"/>
        <b val="0"/>
        <color rgb="FF000000"/>
      </rPr>
      <t xml:space="preserve">realized i've likely been in basal ganglia -- high amp and bursty spikes; whooshing sound in lower chs with saccades or licks? spikes up to at least upper bank ch165 at start of task. possible visual drive in lower portion of probe  </t>
    </r>
  </si>
  <si>
    <t>8/16/2024</t>
  </si>
  <si>
    <r>
      <rPr>
        <rFont val="Arial"/>
        <b/>
        <color rgb="FF000000"/>
      </rPr>
      <t xml:space="preserve">neural_stim_4 (familiar scenes); </t>
    </r>
    <r>
      <rPr>
        <rFont val="Arial"/>
        <b val="0"/>
        <color rgb="FF000000"/>
      </rPr>
      <t xml:space="preserve">less spikes on the upper bank, but dense activity throughout the lower bank, similar to the previous group of recordings. spikes near the tip appeared after settling. looks like i might be in basal ganglia again  </t>
    </r>
  </si>
  <si>
    <t>8/19/2024</t>
  </si>
  <si>
    <t xml:space="preserve">tried to penetrate dura but could not without the electrode bending. some blood and possibly other fluids developed over the weekend. replaced silastic </t>
  </si>
  <si>
    <t>8/20/2024</t>
  </si>
  <si>
    <t>05.4, 05.1</t>
  </si>
  <si>
    <t>00.15, -00.5</t>
  </si>
  <si>
    <r>
      <rPr>
        <rFont val="Arial"/>
        <b/>
        <color theme="1"/>
      </rPr>
      <t>ballroom neural_stim_4 (familiar scenes);</t>
    </r>
    <r>
      <rPr>
        <rFont val="Arial"/>
        <color theme="1"/>
      </rPr>
      <t xml:space="preserve"> lost a lot of activity throughout the probe during recording due to blood/tissue getting stuck to it, which was visible after retracting. </t>
    </r>
  </si>
  <si>
    <t>8/21/2024</t>
  </si>
  <si>
    <t>74.8</t>
  </si>
  <si>
    <r>
      <rPr>
        <rFont val="Arial"/>
        <b/>
        <color rgb="FF000000"/>
      </rPr>
      <t xml:space="preserve">neural_stim_4 (familiar scenes); </t>
    </r>
    <r>
      <rPr>
        <rFont val="Arial"/>
        <b val="0"/>
        <color rgb="FF000000"/>
      </rPr>
      <t xml:space="preserve">good activity throughout; sparse units in IT but thick bands of high amp spikes deeper. visual drive in deepest chs, and upper chs. possibly in hippocampus but hard to tell due to the high baseline firing rates </t>
    </r>
  </si>
  <si>
    <t>8/22/2024</t>
  </si>
  <si>
    <t>79.8</t>
  </si>
  <si>
    <r>
      <rPr>
        <rFont val="Arial"/>
        <b/>
        <color rgb="FF000000"/>
      </rPr>
      <t>ballroom neural_stim_4 (familiar scenes);</t>
    </r>
    <r>
      <rPr>
        <rFont val="Arial"/>
        <color rgb="FF000000"/>
      </rPr>
      <t xml:space="preserve"> activity similar to yesterday, perhaps slightly quieter; up to at least ch169. three separate areas of activity. visual drive in upper chs, unclear in mid and lower chs. </t>
    </r>
  </si>
  <si>
    <t>8/23/2024</t>
  </si>
  <si>
    <t>7550</t>
  </si>
  <si>
    <r>
      <rPr>
        <rFont val="Arial"/>
        <color rgb="FF000000"/>
      </rPr>
      <t xml:space="preserve">ran E6 neural_stim_5 (day 1);  </t>
    </r>
    <r>
      <rPr>
        <rFont val="Arial"/>
        <color rgb="FF000000"/>
      </rPr>
      <t xml:space="preserve">some silastic on the lower portion of the probe once it was retracted; not as bad as what I saw the other day. spikes on the first page disappeared (around ch30). these chs had a decent amount of activity. </t>
    </r>
  </si>
  <si>
    <t>8/27/2024</t>
  </si>
  <si>
    <r>
      <rPr>
        <rFont val="Arial"/>
        <b/>
        <color rgb="FF000000"/>
      </rPr>
      <t xml:space="preserve">neural_stim_4 (familiar scenes); </t>
    </r>
    <r>
      <rPr>
        <rFont val="Arial"/>
        <b val="0"/>
        <color rgb="FF000000"/>
      </rPr>
      <t xml:space="preserve">after retracting, material was stuck to the probe. not sure if this affected the recording. no activity on the first page. possible visual drive in deep hipp chs; not many IT chs with activity. </t>
    </r>
  </si>
  <si>
    <t>8/28/2024</t>
  </si>
  <si>
    <r>
      <rPr>
        <rFont val="Arial"/>
        <b/>
        <color rgb="FF000000"/>
      </rPr>
      <t xml:space="preserve">manipulated faces; </t>
    </r>
    <r>
      <rPr>
        <rFont val="Arial"/>
        <b val="0"/>
        <color rgb="FF000000"/>
      </rPr>
      <t xml:space="preserve">good activity; visual drive in upper chs., possibly some deep chs. by the end of the session, spikes populated the last page of chs  </t>
    </r>
  </si>
  <si>
    <t>8/29/2024</t>
  </si>
  <si>
    <t>49.7</t>
  </si>
  <si>
    <r>
      <rPr>
        <rFont val="Arial"/>
        <b/>
        <color rgb="FF000000"/>
      </rPr>
      <t xml:space="preserve">ran E6 neural_stim_5 (day 1); </t>
    </r>
    <r>
      <rPr>
        <rFont val="Arial"/>
        <b val="0"/>
        <color rgb="FF000000"/>
      </rPr>
      <t xml:space="preserve">upper chs still quieter, but populated last page by the end of the session. similar pattern of activity and visual drive as yesterday’s recording. acticity increased overall over time </t>
    </r>
  </si>
  <si>
    <t>8/30/2024</t>
  </si>
  <si>
    <r>
      <rPr>
        <rFont val="Arial"/>
        <b/>
        <color rgb="FF000000"/>
      </rPr>
      <t xml:space="preserve">ran natural images/Elias Neptune; </t>
    </r>
    <r>
      <rPr>
        <rFont val="Arial"/>
        <b val="0"/>
        <color rgb="FF000000"/>
      </rPr>
      <t xml:space="preserve">similar activity, spikes up to the last page after settling </t>
    </r>
  </si>
  <si>
    <t>9/5/2024</t>
  </si>
  <si>
    <r>
      <rPr>
        <rFont val="Arial"/>
        <b/>
        <color rgb="FF000000"/>
      </rPr>
      <t xml:space="preserve">neural_stim_4 (familiar scenes); </t>
    </r>
    <r>
      <rPr>
        <rFont val="Arial"/>
        <b val="0"/>
        <color rgb="FF000000"/>
      </rPr>
      <t xml:space="preserve">by the middle of the session, the superficial-most spikes reappeared in a group around upper bank ch185, and continued to increase in activity from there. visual drive? increased activity also in deeper chs of upper bank. </t>
    </r>
  </si>
  <si>
    <t>9/12/2024</t>
  </si>
  <si>
    <r>
      <rPr>
        <rFont val="Arial"/>
        <b/>
        <color theme="1"/>
      </rPr>
      <t xml:space="preserve">hvm10; </t>
    </r>
    <r>
      <rPr>
        <rFont val="Arial"/>
        <b val="0"/>
        <color theme="1"/>
      </rPr>
      <t>visual drive, very clear on ch203 and chs in350s (beginning of session). activity increased over the session, filling in channels to at least 379. lower performance on final objaverse trials</t>
    </r>
  </si>
  <si>
    <t>9/13/2024</t>
  </si>
  <si>
    <r>
      <rPr>
        <rFont val="Arial"/>
        <b/>
        <color theme="1"/>
      </rPr>
      <t xml:space="preserve">hvm10; </t>
    </r>
    <r>
      <rPr>
        <rFont val="Arial"/>
        <b val="0"/>
        <color theme="1"/>
      </rPr>
      <t xml:space="preserve">similar patterns of activity as yesterday. spikes/high activity throughout the probe, visual drive. 3350 trials of hvm10 instead of 3500 </t>
    </r>
  </si>
  <si>
    <t>9/20/2024</t>
  </si>
  <si>
    <r>
      <rPr>
        <rFont val="Arial"/>
        <b/>
        <color theme="1"/>
      </rPr>
      <t xml:space="preserve">E7, variations of freeview; </t>
    </r>
    <r>
      <rPr>
        <rFont val="Arial"/>
        <b val="0"/>
        <color theme="1"/>
      </rPr>
      <t>good activity throughout the probe; activity increased well after settling, during task. high visual drive in upper chs. not clear in lower chs but activity is high there as well. spikes up to at least ch341. she did much better on freeview with these params</t>
    </r>
  </si>
  <si>
    <t>9/23/2024</t>
  </si>
  <si>
    <r>
      <rPr>
        <rFont val="Arial"/>
        <b/>
        <color theme="1"/>
      </rPr>
      <t xml:space="preserve">hvm10; </t>
    </r>
    <r>
      <rPr>
        <rFont val="Arial"/>
        <b val="0"/>
        <color theme="1"/>
      </rPr>
      <t xml:space="preserve">spikes up to at least upper bank ch114 at the beginning of the session; should be in TL/TF but missing TH at this angle; visual drive? </t>
    </r>
  </si>
  <si>
    <t>9/24/2024</t>
  </si>
  <si>
    <r>
      <rPr>
        <rFont val="Arial"/>
        <b/>
        <color theme="1"/>
      </rPr>
      <t xml:space="preserve">E7, variations of freeview; </t>
    </r>
    <r>
      <rPr>
        <rFont val="Arial"/>
        <b val="0"/>
        <color theme="1"/>
      </rPr>
      <t xml:space="preserve">slightly less activity at the start of task compared to yesterday. spikes through upper ch97 at least. visual drive. some pump noise. </t>
    </r>
    <r>
      <rPr>
        <rFont val="Arial"/>
        <b/>
        <color theme="1"/>
      </rPr>
      <t>forgot to manipulate the positions of the novel stimuli</t>
    </r>
  </si>
  <si>
    <t>9/25/2024</t>
  </si>
  <si>
    <r>
      <rPr>
        <rFont val="Arial"/>
        <b/>
        <color theme="1"/>
      </rPr>
      <t xml:space="preserve">E7, variations of freeview; </t>
    </r>
    <r>
      <rPr>
        <rFont val="Arial"/>
        <b val="0"/>
        <color theme="1"/>
      </rPr>
      <t>similar pattern of activity as yesterday. only went to 6500 since the first page was quiet. not great 3x3 task performance. similar visual drive</t>
    </r>
  </si>
  <si>
    <t>9/27/2024</t>
  </si>
  <si>
    <r>
      <rPr>
        <rFont val="Arial"/>
        <b/>
        <color theme="1"/>
      </rPr>
      <t xml:space="preserve">E7, variations of freeview; </t>
    </r>
    <r>
      <rPr>
        <rFont val="Arial"/>
        <b val="0"/>
        <color theme="1"/>
      </rPr>
      <t>running opposite diagonal novel object positions (all new stim). similar activity and visual drive again. west did extra trials</t>
    </r>
  </si>
  <si>
    <t>10/2/2024</t>
  </si>
  <si>
    <t xml:space="preserve">hvm10; </t>
  </si>
  <si>
    <t>10/4/2024</t>
  </si>
  <si>
    <t xml:space="preserve">E7, variations of freeview; </t>
  </si>
  <si>
    <t>10/8/2024</t>
  </si>
  <si>
    <t>05.85, 04.9</t>
  </si>
  <si>
    <t>00.6, -00.7</t>
  </si>
  <si>
    <t>10/10/2024</t>
  </si>
  <si>
    <t>E7_05, day 1</t>
  </si>
  <si>
    <t>10/11/2024</t>
  </si>
  <si>
    <t>E7_05, day 2</t>
  </si>
  <si>
    <t xml:space="preserve">E7, variations of freeview (day 2 of E7_05); </t>
  </si>
  <si>
    <t>10/21/2024</t>
  </si>
  <si>
    <t>silastic replaced (also replaced the beginning of last week but forgot to log)</t>
  </si>
  <si>
    <t>H00 and H02 sealed with metabond</t>
  </si>
  <si>
    <t>H01 sealed with metabond</t>
  </si>
  <si>
    <t>recording date</t>
  </si>
  <si>
    <t>depth from dura (mm)</t>
  </si>
  <si>
    <t>performance (%)</t>
  </si>
  <si>
    <t>trials</t>
  </si>
  <si>
    <t>00.0, 07.0</t>
  </si>
  <si>
    <t>short</t>
  </si>
  <si>
    <t xml:space="preserve">didn't see spikes until ~4000, seems like this was the case for West at this location too. possible visual drive for scenes, and at the end of the session it seemed like there may be for objects alone.  cluster of spikes from ch40-190; spikes up through ~ch250. shorter first session. </t>
  </si>
  <si>
    <r>
      <rPr>
        <rFont val="Arial"/>
        <color theme="1"/>
      </rPr>
      <t xml:space="preserve">start of </t>
    </r>
    <r>
      <rPr>
        <rFont val="Arial"/>
        <b/>
        <color theme="1"/>
      </rPr>
      <t xml:space="preserve">training </t>
    </r>
    <r>
      <rPr>
        <rFont val="Arial"/>
        <color theme="1"/>
      </rPr>
      <t xml:space="preserve">on neural set </t>
    </r>
    <r>
      <rPr>
        <rFont val="Arial"/>
        <b/>
        <color theme="1"/>
      </rPr>
      <t>5_00</t>
    </r>
  </si>
  <si>
    <t>TE3</t>
  </si>
  <si>
    <r>
      <rPr>
        <rFont val="Arial"/>
        <color theme="1"/>
      </rPr>
      <t xml:space="preserve">start of </t>
    </r>
    <r>
      <rPr>
        <rFont val="Arial"/>
        <b/>
        <color theme="1"/>
      </rPr>
      <t xml:space="preserve">training </t>
    </r>
    <r>
      <rPr>
        <rFont val="Arial"/>
        <color theme="1"/>
      </rPr>
      <t xml:space="preserve">on neural set </t>
    </r>
    <r>
      <rPr>
        <rFont val="Arial"/>
        <b/>
        <color theme="1"/>
      </rPr>
      <t xml:space="preserve">5_01; </t>
    </r>
    <r>
      <rPr>
        <rFont val="Arial"/>
        <color theme="1"/>
      </rPr>
      <t xml:space="preserve">noise when retracting </t>
    </r>
  </si>
  <si>
    <r>
      <rPr>
        <rFont val="Arial"/>
        <color theme="1"/>
      </rPr>
      <t xml:space="preserve">start of </t>
    </r>
    <r>
      <rPr>
        <rFont val="Arial"/>
        <b/>
        <color theme="1"/>
      </rPr>
      <t>training</t>
    </r>
    <r>
      <rPr>
        <rFont val="Arial"/>
        <color theme="1"/>
      </rPr>
      <t xml:space="preserve"> on neural set </t>
    </r>
    <r>
      <rPr>
        <rFont val="Arial"/>
        <b/>
        <color theme="1"/>
      </rPr>
      <t xml:space="preserve">5_02, </t>
    </r>
    <r>
      <rPr>
        <rFont val="Arial"/>
        <color theme="1"/>
      </rPr>
      <t xml:space="preserve">recording from area of cortex where we've previously seen high activity </t>
    </r>
  </si>
  <si>
    <t>TEO</t>
  </si>
  <si>
    <r>
      <rPr>
        <rFont val="Arial"/>
        <color theme="1"/>
      </rPr>
      <t xml:space="preserve">started </t>
    </r>
    <r>
      <rPr>
        <rFont val="Arial"/>
        <b/>
        <color theme="1"/>
      </rPr>
      <t xml:space="preserve">training </t>
    </r>
    <r>
      <rPr>
        <rFont val="Arial"/>
        <color theme="1"/>
      </rPr>
      <t xml:space="preserve">neural set </t>
    </r>
    <r>
      <rPr>
        <rFont val="Arial"/>
        <b/>
        <color theme="1"/>
      </rPr>
      <t xml:space="preserve">5_03; </t>
    </r>
    <r>
      <rPr>
        <rFont val="Arial"/>
        <color theme="1"/>
      </rPr>
      <t xml:space="preserve">first encountered spikes deeper than previous days in this location (3000u compared to 2000u). Not a lot of activity througout the probe. West was very sleepy so this was a shorter session. </t>
    </r>
    <r>
      <rPr>
        <rFont val="Arial"/>
        <b/>
        <color theme="1"/>
      </rPr>
      <t xml:space="preserve">Returned to using original probe </t>
    </r>
  </si>
  <si>
    <r>
      <rPr>
        <rFont val="Arial"/>
        <b/>
        <color theme="1"/>
      </rPr>
      <t xml:space="preserve">training neural_stim_5_04; </t>
    </r>
    <r>
      <rPr>
        <rFont val="Arial"/>
        <b val="0"/>
        <color theme="1"/>
      </rPr>
      <t>good activity; again, seemingly less obvious visual drive but still present . during dk file, it looked/sounded like the unit on ch276 died, but then spikes returned to normal w/in ~30 sec.</t>
    </r>
  </si>
  <si>
    <r>
      <rPr>
        <rFont val="Arial"/>
        <b/>
        <color theme="1"/>
      </rPr>
      <t xml:space="preserve">training neural_stim_5_05; </t>
    </r>
    <r>
      <rPr>
        <rFont val="Arial"/>
        <b/>
        <color rgb="FF0000FF"/>
      </rPr>
      <t>first day using long probe configuration.</t>
    </r>
    <r>
      <rPr>
        <rFont val="Arial"/>
        <b/>
        <color theme="1"/>
      </rPr>
      <t xml:space="preserve"> </t>
    </r>
    <r>
      <rPr>
        <rFont val="Arial"/>
        <b val="0"/>
        <color theme="1"/>
      </rPr>
      <t xml:space="preserve">unclear if there's visual drive in TH, possible in hippocampus, present in IT. three distinct areas with gaps in between (IT, hipp, TH?) </t>
    </r>
  </si>
  <si>
    <t xml:space="preserve">long probe recording </t>
  </si>
  <si>
    <t>HXX, PXX</t>
  </si>
  <si>
    <t>depth</t>
  </si>
  <si>
    <t>angle (deg)</t>
  </si>
  <si>
    <t>channel range (IT)</t>
  </si>
  <si>
    <t>channel range (wm)</t>
  </si>
  <si>
    <t>channel range (HC)</t>
  </si>
  <si>
    <t>channel range (PH)</t>
  </si>
  <si>
    <t>channel range (EC)</t>
  </si>
  <si>
    <t>channel range (Prh)</t>
  </si>
  <si>
    <t>anatomical structures</t>
  </si>
  <si>
    <t>selectivity: scene (S), object (O), face (F), unsure (U)</t>
  </si>
  <si>
    <t>depth range of selectivity (approx)</t>
  </si>
  <si>
    <t>channel range of selectivity (approx)</t>
  </si>
  <si>
    <t>H00, P31</t>
  </si>
  <si>
    <t>0.5</t>
  </si>
  <si>
    <t>384-50(?)</t>
  </si>
  <si>
    <t>most of the probe should've been in white matter? possibly reaching V4 toward tip</t>
  </si>
  <si>
    <t>S (deep chs), O</t>
  </si>
  <si>
    <t>5000-3000</t>
  </si>
  <si>
    <t>344-144</t>
  </si>
  <si>
    <t>H00, P37</t>
  </si>
  <si>
    <t>0.7</t>
  </si>
  <si>
    <t>entire probe??</t>
  </si>
  <si>
    <t xml:space="preserve">may have clipped some HC but hard to parse out </t>
  </si>
  <si>
    <t>HC?</t>
  </si>
  <si>
    <t>U</t>
  </si>
  <si>
    <t>H00, P46</t>
  </si>
  <si>
    <t>384-250</t>
  </si>
  <si>
    <t>250-0</t>
  </si>
  <si>
    <t>TF/TL</t>
  </si>
  <si>
    <t>H00, P14</t>
  </si>
  <si>
    <t>0.8</t>
  </si>
  <si>
    <t>384-160</t>
  </si>
  <si>
    <t>160-100; 80-15 (tip may be V3/V2)</t>
  </si>
  <si>
    <t>HC</t>
  </si>
  <si>
    <t>S (mid/upper chs), O</t>
  </si>
  <si>
    <t>3900-1760</t>
  </si>
  <si>
    <t>214-0</t>
  </si>
  <si>
    <t>L0 : 20231109</t>
  </si>
  <si>
    <t>H02, P22</t>
  </si>
  <si>
    <t>29.9, 10.0</t>
  </si>
  <si>
    <t>***noisy recording so hard to say with any certainty ; 360-260</t>
  </si>
  <si>
    <t>260-220??; 130-70</t>
  </si>
  <si>
    <t>220-130</t>
  </si>
  <si>
    <t>70-0</t>
  </si>
  <si>
    <t>TE3, TE2, HC, EC</t>
  </si>
  <si>
    <t>H01, P59</t>
  </si>
  <si>
    <t>30.1</t>
  </si>
  <si>
    <t>~270-240</t>
  </si>
  <si>
    <t>240-150?</t>
  </si>
  <si>
    <t>150-0</t>
  </si>
  <si>
    <t>TE3, TE2, TF</t>
  </si>
  <si>
    <t>H01, P55</t>
  </si>
  <si>
    <t>~350-285</t>
  </si>
  <si>
    <t>285-180</t>
  </si>
  <si>
    <t>180-0</t>
  </si>
  <si>
    <t>TE3, HC</t>
  </si>
  <si>
    <t>H00, P54</t>
  </si>
  <si>
    <t>35.0</t>
  </si>
  <si>
    <t>200-0</t>
  </si>
  <si>
    <t>TE0</t>
  </si>
  <si>
    <t>230-0</t>
  </si>
  <si>
    <t xml:space="preserve">check onshape </t>
  </si>
  <si>
    <t>TEO, could be getting some TF based on 3D model</t>
  </si>
  <si>
    <t>high S (deep chs), O</t>
  </si>
  <si>
    <t>5100-2500</t>
  </si>
  <si>
    <t>H02, P06</t>
  </si>
  <si>
    <t>29.9</t>
  </si>
  <si>
    <t>300-210</t>
  </si>
  <si>
    <t>210-154; 108-20</t>
  </si>
  <si>
    <t>154-108</t>
  </si>
  <si>
    <t>20-0?</t>
  </si>
  <si>
    <t>H01,P61</t>
  </si>
  <si>
    <t>24.9</t>
  </si>
  <si>
    <t>300-275</t>
  </si>
  <si>
    <t>275-195</t>
  </si>
  <si>
    <t>190-0</t>
  </si>
  <si>
    <t>TE3, TE0, TF0, TL0</t>
  </si>
  <si>
    <t>H01, P52</t>
  </si>
  <si>
    <t>25.0</t>
  </si>
  <si>
    <t>308-250</t>
  </si>
  <si>
    <t>250-170</t>
  </si>
  <si>
    <t>likely 170-0</t>
  </si>
  <si>
    <t>TE3, TE2, TF, TL</t>
  </si>
  <si>
    <t>H02, P28</t>
  </si>
  <si>
    <t>35.0, 15.0</t>
  </si>
  <si>
    <t>320-175</t>
  </si>
  <si>
    <t>175-14</t>
  </si>
  <si>
    <t>H00, P58</t>
  </si>
  <si>
    <t xml:space="preserve">325-? </t>
  </si>
  <si>
    <t xml:space="preserve">?-0; most of this recording looks to be in PH but unclear where the borders are. possibly transitions into PH around ch 272. </t>
  </si>
  <si>
    <t>TE3, TF0, TL0</t>
  </si>
  <si>
    <t>H00, P04</t>
  </si>
  <si>
    <t>0.2</t>
  </si>
  <si>
    <t>330-195 -- FST or TEO?</t>
  </si>
  <si>
    <t>195-100; 100-0 HC?</t>
  </si>
  <si>
    <t>likely 100-10</t>
  </si>
  <si>
    <t>FST based on Paxinos, TEO based on 3D model</t>
  </si>
  <si>
    <t>S</t>
  </si>
  <si>
    <t>3500-700</t>
  </si>
  <si>
    <t>324-54</t>
  </si>
  <si>
    <t>H01, P57</t>
  </si>
  <si>
    <t>330-285</t>
  </si>
  <si>
    <t>285-230; 80-60</t>
  </si>
  <si>
    <t>around ch230? looks like there might be as handful of chs that clipped CA1</t>
  </si>
  <si>
    <t>60-0</t>
  </si>
  <si>
    <t>TE3, HC?, TF, TL</t>
  </si>
  <si>
    <t>330?-250</t>
  </si>
  <si>
    <t xml:space="preserve">70-0 </t>
  </si>
  <si>
    <t>250-70</t>
  </si>
  <si>
    <t>H01, P61</t>
  </si>
  <si>
    <t>332-160</t>
  </si>
  <si>
    <t>160-0</t>
  </si>
  <si>
    <t>H01, P70</t>
  </si>
  <si>
    <t>340-240</t>
  </si>
  <si>
    <t>240-220; 65-25</t>
  </si>
  <si>
    <t>220-65</t>
  </si>
  <si>
    <t>25-0?</t>
  </si>
  <si>
    <t>TE3, HC, TH</t>
  </si>
  <si>
    <t>H02, P27</t>
  </si>
  <si>
    <t>30.0, 20.0</t>
  </si>
  <si>
    <t>340-300</t>
  </si>
  <si>
    <t>300-260; 100-50</t>
  </si>
  <si>
    <t>260-100?</t>
  </si>
  <si>
    <t>50-0</t>
  </si>
  <si>
    <t>H01, P38</t>
  </si>
  <si>
    <t>345-200; 35-0</t>
  </si>
  <si>
    <t>200-150</t>
  </si>
  <si>
    <t>150-35 (35-0 could be more HC)</t>
  </si>
  <si>
    <t>S, high O</t>
  </si>
  <si>
    <t>3000-1000</t>
  </si>
  <si>
    <t>H01, P40</t>
  </si>
  <si>
    <t>348-220</t>
  </si>
  <si>
    <t>220-190; 80-0</t>
  </si>
  <si>
    <t>190-80</t>
  </si>
  <si>
    <t>H01, P13</t>
  </si>
  <si>
    <t>350-180</t>
  </si>
  <si>
    <t>180-0; 100-0?</t>
  </si>
  <si>
    <t>TE3, TEO, TF</t>
  </si>
  <si>
    <t>high S &amp; O, (lower-mid chs)</t>
  </si>
  <si>
    <t>4100-2600</t>
  </si>
  <si>
    <t>334-184</t>
  </si>
  <si>
    <t>H00, P11</t>
  </si>
  <si>
    <t>350-200</t>
  </si>
  <si>
    <t>TEO, V4?</t>
  </si>
  <si>
    <t>S (deep chs)</t>
  </si>
  <si>
    <t>4600-2500</t>
  </si>
  <si>
    <t>374-164</t>
  </si>
  <si>
    <t>H00, P12</t>
  </si>
  <si>
    <t>1.0</t>
  </si>
  <si>
    <t>350-235</t>
  </si>
  <si>
    <t>235-180?</t>
  </si>
  <si>
    <t xml:space="preserve">180-0 </t>
  </si>
  <si>
    <t>TE3 (but possibly FST), HC</t>
  </si>
  <si>
    <t>H01, P71</t>
  </si>
  <si>
    <t>10.1</t>
  </si>
  <si>
    <t>360?-220</t>
  </si>
  <si>
    <t>220-190</t>
  </si>
  <si>
    <t>190-65</t>
  </si>
  <si>
    <t xml:space="preserve">65-0? </t>
  </si>
  <si>
    <t>H01, P51</t>
  </si>
  <si>
    <t>383-?</t>
  </si>
  <si>
    <t>likely starts somewhere around ch100-0</t>
  </si>
  <si>
    <t>H02, P12</t>
  </si>
  <si>
    <t>40.1, 10.0</t>
  </si>
  <si>
    <t>383-188</t>
  </si>
  <si>
    <t>188-80</t>
  </si>
  <si>
    <t>upper Prh chs may skim</t>
  </si>
  <si>
    <t>80-0?</t>
  </si>
  <si>
    <t>TE3, TE2, TF?, A36, A35</t>
  </si>
  <si>
    <t>H02, P03</t>
  </si>
  <si>
    <t>383-190?</t>
  </si>
  <si>
    <t>H02, P24</t>
  </si>
  <si>
    <t>383-260</t>
  </si>
  <si>
    <t>260-180</t>
  </si>
  <si>
    <t>180-135</t>
  </si>
  <si>
    <t>135-0</t>
  </si>
  <si>
    <t>TE2, TF, A36, A35</t>
  </si>
  <si>
    <t>H00, P61</t>
  </si>
  <si>
    <t>35.0, -10.0</t>
  </si>
  <si>
    <t xml:space="preserve">383-275? </t>
  </si>
  <si>
    <t>275-0?</t>
  </si>
  <si>
    <t>TE0, TF0, TL0</t>
  </si>
  <si>
    <t>H02, P53</t>
  </si>
  <si>
    <t>40.3</t>
  </si>
  <si>
    <t>383-278</t>
  </si>
  <si>
    <t>278-81</t>
  </si>
  <si>
    <t>81-0</t>
  </si>
  <si>
    <t>TE3, TE2, A36, A35</t>
  </si>
  <si>
    <t>H01, P24</t>
  </si>
  <si>
    <t>10.2</t>
  </si>
  <si>
    <t>383-285</t>
  </si>
  <si>
    <t>285-220</t>
  </si>
  <si>
    <t>220-0</t>
  </si>
  <si>
    <t>H00, P57</t>
  </si>
  <si>
    <t>35.1</t>
  </si>
  <si>
    <t>383-310; 200-100</t>
  </si>
  <si>
    <t>310-200; 100-0</t>
  </si>
  <si>
    <t>H01, P56</t>
  </si>
  <si>
    <t>383-320</t>
  </si>
  <si>
    <t>320-290</t>
  </si>
  <si>
    <t>290-0</t>
  </si>
  <si>
    <t>H01, P08</t>
  </si>
  <si>
    <t>384-0</t>
  </si>
  <si>
    <t>TE3, TE2</t>
  </si>
  <si>
    <t>S (deeper chs), O, F</t>
  </si>
  <si>
    <t>H01, P14</t>
  </si>
  <si>
    <t>384-140</t>
  </si>
  <si>
    <t>140-0</t>
  </si>
  <si>
    <t>likely S and/or O</t>
  </si>
  <si>
    <t>H00, P43</t>
  </si>
  <si>
    <t>S (lower chs), O (lower and upper chs)</t>
  </si>
  <si>
    <t>4700-3500</t>
  </si>
  <si>
    <t>384-264</t>
  </si>
  <si>
    <t>E0 : 20231102</t>
  </si>
  <si>
    <t>H01, P23</t>
  </si>
  <si>
    <t>384-185</t>
  </si>
  <si>
    <t>185-145; 115-60</t>
  </si>
  <si>
    <t>145-115; 60-0</t>
  </si>
  <si>
    <t>high S &amp; O</t>
  </si>
  <si>
    <t>5000-2700, greater select.  1860-1160</t>
  </si>
  <si>
    <t>384-; higher select. 70-0</t>
  </si>
  <si>
    <t>H00, P34</t>
  </si>
  <si>
    <t>384-230 -- FST or TEO?</t>
  </si>
  <si>
    <t>230-170</t>
  </si>
  <si>
    <t>170-74</t>
  </si>
  <si>
    <t>Ca1 at tip, FST/TEO</t>
  </si>
  <si>
    <t>S, some O</t>
  </si>
  <si>
    <t>4600-4400; 3500-2000</t>
  </si>
  <si>
    <t>384-364; 274-124</t>
  </si>
  <si>
    <t>H01, P37</t>
  </si>
  <si>
    <t>250-210; 75-50</t>
  </si>
  <si>
    <t>210-75</t>
  </si>
  <si>
    <t>E0 : 20240130</t>
  </si>
  <si>
    <t>7400-2500</t>
  </si>
  <si>
    <t>384(1)-134(0)</t>
  </si>
  <si>
    <t>H00, P10</t>
  </si>
  <si>
    <t>384-255</t>
  </si>
  <si>
    <t xml:space="preserve">255-140? V4 likely deeper, but not sure where the transition is </t>
  </si>
  <si>
    <t>V4, TEO (medial)</t>
  </si>
  <si>
    <t>5200-3000</t>
  </si>
  <si>
    <t>384-164</t>
  </si>
  <si>
    <t>H01, P43</t>
  </si>
  <si>
    <t>384-265?</t>
  </si>
  <si>
    <t>265-230</t>
  </si>
  <si>
    <t>230-130</t>
  </si>
  <si>
    <t>130-0? 90-0?</t>
  </si>
  <si>
    <t>TE3, HC, possible TH</t>
  </si>
  <si>
    <t>L0 : 20240208</t>
  </si>
  <si>
    <t>H00, P07</t>
  </si>
  <si>
    <t>384-280</t>
  </si>
  <si>
    <t>280-0, but deeper half of the probe may also be V4</t>
  </si>
  <si>
    <t>check onshape</t>
  </si>
  <si>
    <t>V4, TF, TEO?</t>
  </si>
  <si>
    <t>6000-3500</t>
  </si>
  <si>
    <t>384-134</t>
  </si>
  <si>
    <t>H01, P39</t>
  </si>
  <si>
    <t>280-215; 90-55</t>
  </si>
  <si>
    <t>280-90</t>
  </si>
  <si>
    <t>possibly 55-0</t>
  </si>
  <si>
    <t>HC possibiliy TH</t>
  </si>
  <si>
    <t>7500-6700; 3000-1900</t>
  </si>
  <si>
    <t>E0 : 20230914</t>
  </si>
  <si>
    <t>high S &amp; O (lower-mid chs)</t>
  </si>
  <si>
    <t>H01, P42</t>
  </si>
  <si>
    <t>384-280?</t>
  </si>
  <si>
    <t>280-235</t>
  </si>
  <si>
    <t>235-120</t>
  </si>
  <si>
    <t>120-0? 80-0?</t>
  </si>
  <si>
    <t>high S &amp; O (mid-upper chs)</t>
  </si>
  <si>
    <t>3000-2000</t>
  </si>
  <si>
    <t>E0 : 20240207</t>
  </si>
  <si>
    <t>300-200(1)</t>
  </si>
  <si>
    <t>H00, P32</t>
  </si>
  <si>
    <t>384-290</t>
  </si>
  <si>
    <t>290-20</t>
  </si>
  <si>
    <t>S, O</t>
  </si>
  <si>
    <t>3500-1160</t>
  </si>
  <si>
    <t>234-0</t>
  </si>
  <si>
    <t>H00, P33</t>
  </si>
  <si>
    <t>290-250?; 80-0</t>
  </si>
  <si>
    <t>250-80</t>
  </si>
  <si>
    <t xml:space="preserve">HC (Ca1), TE3 </t>
  </si>
  <si>
    <t>S, high O (mid/lower chs)</t>
  </si>
  <si>
    <t>4900-2500</t>
  </si>
  <si>
    <t>384-144</t>
  </si>
  <si>
    <t>20240216</t>
  </si>
  <si>
    <t>H01, P48</t>
  </si>
  <si>
    <t>290-230</t>
  </si>
  <si>
    <t>230-60; 230-0</t>
  </si>
  <si>
    <t>possibly 60-0</t>
  </si>
  <si>
    <t>TE3, HC, possibly TH</t>
  </si>
  <si>
    <t>L0 : 20240116</t>
  </si>
  <si>
    <t>H01, P27</t>
  </si>
  <si>
    <t>384-295</t>
  </si>
  <si>
    <t>296-240; 120-70</t>
  </si>
  <si>
    <t>240-120</t>
  </si>
  <si>
    <t xml:space="preserve">TE3, HC, TH </t>
  </si>
  <si>
    <t>H00, P27</t>
  </si>
  <si>
    <t>0.3</t>
  </si>
  <si>
    <t>384-300</t>
  </si>
  <si>
    <t xml:space="preserve">300-? unclear where V4 begins </t>
  </si>
  <si>
    <t>H01, P28</t>
  </si>
  <si>
    <t>300-250; 120-75</t>
  </si>
  <si>
    <t>250-120</t>
  </si>
  <si>
    <t>75-0</t>
  </si>
  <si>
    <t>L0 : 20231011</t>
  </si>
  <si>
    <t>300 and below likely white matter, V4 deeper?</t>
  </si>
  <si>
    <t>H01, P20</t>
  </si>
  <si>
    <t>384-310</t>
  </si>
  <si>
    <t>310-170</t>
  </si>
  <si>
    <t>170-0</t>
  </si>
  <si>
    <t>S, higher O</t>
  </si>
  <si>
    <t>H01, P33</t>
  </si>
  <si>
    <t>384-310; 300-250</t>
  </si>
  <si>
    <t>310-300; 250-200; 75-35</t>
  </si>
  <si>
    <t>200-75</t>
  </si>
  <si>
    <t>35-0</t>
  </si>
  <si>
    <t>L0 : 20240124</t>
  </si>
  <si>
    <t>H01, P32</t>
  </si>
  <si>
    <t>384-345</t>
  </si>
  <si>
    <t>345-315; 250-190; 110-70</t>
  </si>
  <si>
    <t>315-250; 190-110</t>
  </si>
  <si>
    <t>7500-6500</t>
  </si>
  <si>
    <t>E0 : 20240123</t>
  </si>
  <si>
    <t>384-270(1)</t>
  </si>
  <si>
    <t>H00, P48</t>
  </si>
  <si>
    <t>384-350</t>
  </si>
  <si>
    <t>350-290</t>
  </si>
  <si>
    <t>TE3, TF, TL</t>
  </si>
  <si>
    <t>H00, P03</t>
  </si>
  <si>
    <t>384-360</t>
  </si>
  <si>
    <t>360-100</t>
  </si>
  <si>
    <t>100-30? may start as early as ~270</t>
  </si>
  <si>
    <t>TF, TL; white matter/possible hipp according to Paxinos</t>
  </si>
  <si>
    <t>4500-3000</t>
  </si>
  <si>
    <t>254-104</t>
  </si>
  <si>
    <t>H01, P22</t>
  </si>
  <si>
    <t>360-270; 40-0</t>
  </si>
  <si>
    <t>270-40</t>
  </si>
  <si>
    <t>6770-2930</t>
  </si>
  <si>
    <t>H01, P07</t>
  </si>
  <si>
    <t>384-75</t>
  </si>
  <si>
    <t>weak S &amp; O</t>
  </si>
  <si>
    <t>E0 : 20231207</t>
  </si>
  <si>
    <t>5400-3500</t>
  </si>
  <si>
    <t>384-1950 (not very selective)</t>
  </si>
  <si>
    <t>H00, P42</t>
  </si>
  <si>
    <t>384,340-0</t>
  </si>
  <si>
    <t>F</t>
  </si>
  <si>
    <t>H00, P52</t>
  </si>
  <si>
    <t>H01, P09</t>
  </si>
  <si>
    <t>385-185</t>
  </si>
  <si>
    <t>185-0</t>
  </si>
  <si>
    <t>TE2, TE2, TF</t>
  </si>
  <si>
    <t>L0 : 20231211</t>
  </si>
  <si>
    <t>H00, P70</t>
  </si>
  <si>
    <t>further check; 383-0</t>
  </si>
  <si>
    <t xml:space="preserve">see above recording </t>
  </si>
  <si>
    <t>H00, P62</t>
  </si>
  <si>
    <t>similar to recording above</t>
  </si>
  <si>
    <t>H00, P63</t>
  </si>
  <si>
    <t>H00, P64</t>
  </si>
  <si>
    <t>H00, P65</t>
  </si>
  <si>
    <t>H00, P66</t>
  </si>
  <si>
    <t>35.1, -10.0</t>
  </si>
  <si>
    <t>H00, P67</t>
  </si>
  <si>
    <t>H00, P68</t>
  </si>
  <si>
    <t>30.0, -15.0</t>
  </si>
  <si>
    <t>similar to recording above, although this penetration may only cut through TE0 (the deepest chs are still scene selective)</t>
  </si>
  <si>
    <t>H00, P69</t>
  </si>
  <si>
    <t xml:space="preserve">similar to recording above. acording to the waveforms, most of this recording would've been in WM which is unlikely </t>
  </si>
  <si>
    <t>H00, P08</t>
  </si>
  <si>
    <t>0.4</t>
  </si>
  <si>
    <t>H00, P13</t>
  </si>
  <si>
    <t>0.9</t>
  </si>
  <si>
    <t>2/17/24</t>
  </si>
  <si>
    <t>2/19/24</t>
  </si>
  <si>
    <t>priority</t>
  </si>
  <si>
    <t>H00, P71</t>
  </si>
  <si>
    <t>V4, TF0</t>
  </si>
  <si>
    <t>I made my best guess here on the ranges but it looks like the waveform plot didn't generate properly. I tried reprocessing but it looks the same.</t>
  </si>
  <si>
    <t>For this recording I'm getting an error processing the waveform plot altogether. It looks like the deepest 1/4 is in V4 and the upper 3/4 is in TF0</t>
  </si>
  <si>
    <t>---------</t>
  </si>
  <si>
    <t xml:space="preserve">dates in gray aren't clear based on waveforms </t>
  </si>
  <si>
    <t>H00, P59 (need to process)</t>
  </si>
  <si>
    <t>H00, P60 (need to process)</t>
  </si>
  <si>
    <t>H01, P53</t>
  </si>
  <si>
    <t>30.0</t>
  </si>
  <si>
    <t>H01, P60</t>
  </si>
  <si>
    <t>West trials (1/24-3/24)</t>
  </si>
  <si>
    <t>monkey 1</t>
  </si>
  <si>
    <t>monkey 2</t>
  </si>
  <si>
    <t>monkey 3</t>
  </si>
  <si>
    <t>accuracy</t>
  </si>
  <si>
    <t>West</t>
  </si>
  <si>
    <t>AJ</t>
  </si>
  <si>
    <t>Bourgeois</t>
  </si>
  <si>
    <t>sessions</t>
  </si>
  <si>
    <t>ave</t>
  </si>
  <si>
    <t>std</t>
  </si>
  <si>
    <t>E1</t>
  </si>
  <si>
    <t>E7</t>
  </si>
  <si>
    <t>neural_stim_4_0ABCDEFGHIJ.json</t>
  </si>
  <si>
    <t>neural_stim_5_0ABCDEFGHIJUVXXYZ_XX</t>
  </si>
  <si>
    <t>neural_stim_4_0ABCDEFGHIJ</t>
  </si>
  <si>
    <t>20240404_SearchStimuli3_FBOP28_300ms_sz_0_6</t>
  </si>
  <si>
    <t>neural_stim_5_0ABCDEFGHIJUVWXYZ_E6_XX.json</t>
  </si>
  <si>
    <t>neural_stim_5_0ABCDEFGHIJUVW_E7_00.json</t>
  </si>
  <si>
    <t>neural_stim_4_0ABC.json</t>
  </si>
  <si>
    <t>neural_stim_5_1ABC2_00_3000</t>
  </si>
  <si>
    <t>20231025_Rust_NaturalImages300_300ms</t>
  </si>
  <si>
    <t>20240530_Var6vbsl_set0_im97_camel_dur300ms_lab.json</t>
  </si>
  <si>
    <t>neural_stim_4_0DEF.json</t>
  </si>
  <si>
    <t>neural_stim_5_1ABC_RSVP66_00.json</t>
  </si>
  <si>
    <t>neural_stim_5_1ABC1_E7_00_3x3calib.json</t>
  </si>
  <si>
    <t>hvm10_apple_45_20240906.json,</t>
  </si>
  <si>
    <t>neural_stim_4_1XXX.json</t>
  </si>
  <si>
    <t>neural_stim_5_2UVW2_XX_3000</t>
  </si>
  <si>
    <t>20231025_Var6vbslir_set0_im151_elias_dur300ms_lab_updated</t>
  </si>
  <si>
    <t>/mkturkfiles/scenebags/FaceStimuli/finished/jsonfiles/potatohead.json,</t>
  </si>
  <si>
    <t>20240530_Var6vbsl_set0_im97_elephant_dur300ms_lab.json</t>
  </si>
  <si>
    <t>neural_stim_4_2XXX.json</t>
  </si>
  <si>
    <t>neural_stim_5_2DEF_RSVP66_00.json</t>
  </si>
  <si>
    <t>neural_stim_5_2UVW1_E7_XX_3x3calib.json</t>
  </si>
  <si>
    <t>hvm10_bear_45_20240906.json,</t>
  </si>
  <si>
    <t>neural_stim_4_1AXX.json</t>
  </si>
  <si>
    <t>neural_stim_5_3XYZ2_XX_3000</t>
  </si>
  <si>
    <t>20231025_Var6vbslir_set0_im151_neptune_dur300ms_lab_updated</t>
  </si>
  <si>
    <t>/mkturkfiles/scenebags/FaceStimuli/finished/jsonfiles/sophie_Nose_0_Mouth_0_Eye_0.json,</t>
  </si>
  <si>
    <t>20231103_Var6vbsl_im97_dur300ms_Baselmesh231_set0_grayscale_notexture.json</t>
  </si>
  <si>
    <t>neural_stim_4_2DXX.json</t>
  </si>
  <si>
    <t>neural_stim_5_3UVW_RSVP66_XX.json</t>
  </si>
  <si>
    <t>neural_stim_5_3UVW1_E7_XX_3x3calib.json</t>
  </si>
  <si>
    <t>hvm10_car_45_20240906.json,</t>
  </si>
  <si>
    <t>neural_stim_4_1XBC.json</t>
  </si>
  <si>
    <t>neural_stim_5_1ABC60_00</t>
  </si>
  <si>
    <t>/mkturkfiles/scenebags/FaceStimuli/finished/jsonfiles/sophie_Nose_0_Mouth_0_EyeL_0_EyeR_-22_5.json,</t>
  </si>
  <si>
    <t>20231103_Var6vbsl_im97_dur300ms_Baselmesh450_set1_grayscale_notexture.json</t>
  </si>
  <si>
    <t>neural_stim_4_2XEF.json</t>
  </si>
  <si>
    <t>neural_stim_5_4XYZ_RSVP66_XX.json</t>
  </si>
  <si>
    <t>neural_stim_5_1ABC17_E7_00.json</t>
  </si>
  <si>
    <t>hvm10_chair_45_20240906.json,</t>
  </si>
  <si>
    <t>neural_stim_4_1ABC44.json</t>
  </si>
  <si>
    <t>neural_stim_5_2UVW60_XX</t>
  </si>
  <si>
    <t>/mkturkfiles/scenebags/FaceStimuli/finished/jsonfiles/sophie_Nose_0_Mouth_0_EyeL_22_5.json,</t>
  </si>
  <si>
    <t>20231103_Var6vbsl_im97_dur300ms_Baselmesh231_set0_grayscale_texture.json</t>
  </si>
  <si>
    <t>neural_stim_5_1ABC_RSVP26_00.json</t>
  </si>
  <si>
    <t>neural_stim_5_2UVW17_E7_XX.json</t>
  </si>
  <si>
    <t>hvm10_dog_45_20240906.json,</t>
  </si>
  <si>
    <t>neural_stim_4_2DEF44.json</t>
  </si>
  <si>
    <t>neural_stim_5_3XYZ60_XX</t>
  </si>
  <si>
    <t>/mkturkfiles/scenebags/FaceStimuli/finished/jsonfiles/sophie_Nose_0_Mouth_0_EyeL_22_5_EyeR_0.json,</t>
  </si>
  <si>
    <t>20231103_Var6vbsl_im97_dur300ms_Baselmesh450_set1_grayscale_texture.json</t>
  </si>
  <si>
    <t>neural_stim_5_2DEF_RSVP26_00.json</t>
  </si>
  <si>
    <t>neural_stim_5_3UVW17_E7_XX.json</t>
  </si>
  <si>
    <t>hvm10_elephant_45_20240906.json,</t>
  </si>
  <si>
    <t>neural_stim_4_1ABC60.json</t>
  </si>
  <si>
    <t>neural_stim_5_1ABC_00</t>
  </si>
  <si>
    <t>/mkturkfiles/scenebags/FaceStimuli/finished/jsonfiles/sophie_Nose_0_Mouth_0_EyeL_22_5_EyeR_-22_5.json,</t>
  </si>
  <si>
    <t>neural_stim_5_3UVW_RSVP26_XX.json</t>
  </si>
  <si>
    <t>neural_stim_5_1ABC2_E7_00_3000.json</t>
  </si>
  <si>
    <t>hvm10_head_45_20240906.json,</t>
  </si>
  <si>
    <t>neural_stim_4_2DEF60.json</t>
  </si>
  <si>
    <t>neural_stim_5_2UVW_XX</t>
  </si>
  <si>
    <t>/mkturkfiles/scenebags/FaceStimuli/finished/jsonfiles/sophie_Nose_0_Mouth_0_EyeL_22_5_EyeR_-45_reduced_edited20250122.json,</t>
  </si>
  <si>
    <t>neural_stim_5_4XYZ_RSVP26_XX.json</t>
  </si>
  <si>
    <t>neural_stim_5_2UVW2_E7_XX_3000.json</t>
  </si>
  <si>
    <t>hvm10_plane_45_20240906.json,</t>
  </si>
  <si>
    <t>neural_stim_5_3XYZ_XX</t>
  </si>
  <si>
    <t>/mkturkfiles/scenebags/FaceStimuli/finished/jsonfiles/sophie_Nose_0_Mouth_0_EyeL_22_5_EyeR_-67_5_reduced.json,</t>
  </si>
  <si>
    <t>neural_stim_5_0QRS_RSVP04_00.json</t>
  </si>
  <si>
    <t>neural_stim_5_3UVW2_E7_XX_3000.json</t>
  </si>
  <si>
    <t>hvm10_table_45_20240906.json,</t>
  </si>
  <si>
    <t>/mkturkfiles/scenebags/FaceStimuli/finished/jsonfiles/sophie_Nose_0_Mouth_0_EyeL_22_5_EyeR_-90_reduced.json,</t>
  </si>
  <si>
    <t>neural_stim_5_99XXX_RSVP04_00.json</t>
  </si>
  <si>
    <t>hvm10_turtle_45_20240906.json</t>
  </si>
  <si>
    <t>/mkturkfiles/scenebags/FaceStimuli/finished/jsonfiles/sophie_Nose_0_Mouth_0_EyeL_45_EyeR_-22_5_reduced.json,</t>
  </si>
  <si>
    <t>neural_stim_5_1ABC2_00_3000.json</t>
  </si>
  <si>
    <t>/mkturkfiles/scenebags/FaceStimuli/finished/jsonfiles/sophie_Nose_0_Mouth_0_EyeL_67_5_EyeR_-22_5_reduced.json,</t>
  </si>
  <si>
    <t>neural_stim_5_3UVW2_XX_3000.json</t>
  </si>
  <si>
    <t>/mkturkfiles/scenebags/FaceStimuli/finished/jsonfiles/sophie_Nose_0_Mouth_0_EyeL_90_EyeR_-22_5_reduced.json,</t>
  </si>
  <si>
    <t>/mkturkfiles/scenebags/FaceStimuli/finished/jsonfiles/sophie_Nose_0_Mouth_0_EyeR_-22_5.json,</t>
  </si>
  <si>
    <t>/mkturkfiles/scenebags/FaceStimuli/finished/jsonfiles/sophie_Nose_0_Mouth_22_5_EyeL_22_5_EyeR_-22_5.json,</t>
  </si>
  <si>
    <t>/mkturkfiles/scenebags/FaceStimuli/finished/jsonfiles/sophie_Nose_0_Mouth_-22_5_EyeL_22_5_EyeR_-22_5.json,</t>
  </si>
  <si>
    <t>/mkturkfiles/scenebags/FaceStimuli/finished/jsonfiles/sophie_Nose_22_5_Mouth_0_EyeL_22_5_EyeR_-22_5.json,</t>
  </si>
  <si>
    <t>/mkturkfiles/scenebags/FaceStimuli/finished/jsonfiles/sophie_Nose_-22_5_Mouth_0_EyeL_22_5_EyeR_-22_5.json,</t>
  </si>
  <si>
    <t>/mkturkfiles/scenebags/FaceStimuli/finished/jsonfiles/sophie_Nose_0_Mouth_0.json,</t>
  </si>
  <si>
    <t>/mkturkfiles/scenebags/FaceStimuli/finished/jsonfiles/sophie_Nose_0_EyeL_22_5_EyeR_-22_5.json,</t>
  </si>
  <si>
    <t>/mkturkfiles/scenebags/FaceStimuli/finished/jsonfiles/sophie_Mouth_0_EyeL_22_5_EyeR_-22_5.json,</t>
  </si>
  <si>
    <t>/mkturkfiles/scenebags/FaceStimuli/finished/jsonfiles/sophie_Nose_0_rotY.json,</t>
  </si>
  <si>
    <t>/mkturkfiles/scenebags/FaceStimuli/finished/jsonfiles/sophie_Mouth_0_rotY.json,</t>
  </si>
  <si>
    <t>/mkturkfiles/scenebags/FaceStimuli/finished/jsonfiles/sophie_EyeL_22_5_EyeR_-22_5.json</t>
  </si>
  <si>
    <t>/mkturkfiles/scenebags/FaceStimuli/finished/jsonfiles/sophie_eye_grid_potatohead_2D_updated.json,</t>
  </si>
  <si>
    <t>/mkturkfiles/scenebags/FaceStimuli/finished/jsonfiles/sophie_nose_grid_potatohead_2D_updated.json,</t>
  </si>
  <si>
    <t>/mkturkfiles/scenebags/FaceStimuli/finished/jsonfiles/sophie_mouth_grid_potatohead_2D_updated.json,</t>
  </si>
  <si>
    <t>/mkturkfiles/scenebags/FaceStimuli/finished/jsonfiles/sophie_eye_grid_2D_updated.json,</t>
  </si>
  <si>
    <t>/mkturkfiles/scenebags/FaceStimuli/finished/jsonfiles/sophie_nose_grid_2D_updated.json,</t>
  </si>
  <si>
    <t>/mkturkfiles/scenebags/FaceStimuli/finished/jsonfiles/sophie_mouth_grid_2D_updated.json</t>
  </si>
  <si>
    <t>8/4/23,</t>
  </si>
  <si>
    <t>9/3/24,</t>
  </si>
  <si>
    <t>8/5/23,</t>
  </si>
  <si>
    <t>9/4/24,</t>
  </si>
  <si>
    <t>8/6/23,</t>
  </si>
  <si>
    <t>9/5/24,</t>
  </si>
  <si>
    <t>8/7/23,</t>
  </si>
  <si>
    <t>9/6/24,</t>
  </si>
  <si>
    <t>8/8/23,</t>
  </si>
  <si>
    <t>9/7/24,</t>
  </si>
  <si>
    <t>8/9/23,</t>
  </si>
  <si>
    <t>9/8/24,</t>
  </si>
  <si>
    <t xml:space="preserve">three weeks pre-craniotomy </t>
  </si>
  <si>
    <t>weeks 10-12 post-craniotomy</t>
  </si>
  <si>
    <t>8/10/23,</t>
  </si>
  <si>
    <t>9/9/24,</t>
  </si>
  <si>
    <t>weeks pre/post</t>
  </si>
  <si>
    <t>day pre/post</t>
  </si>
  <si>
    <t>Bourg</t>
  </si>
  <si>
    <t>8/11/23,</t>
  </si>
  <si>
    <t>9/10/24,</t>
  </si>
  <si>
    <t>8/12/23,</t>
  </si>
  <si>
    <t>9/11/24,</t>
  </si>
  <si>
    <t>8/13/23,</t>
  </si>
  <si>
    <t>9/12/24,</t>
  </si>
  <si>
    <t>8/14/23,</t>
  </si>
  <si>
    <t>9/13/24,</t>
  </si>
  <si>
    <t>8/15/23,</t>
  </si>
  <si>
    <t>9/14/24,</t>
  </si>
  <si>
    <t>8/16/23,</t>
  </si>
  <si>
    <t>9/15/24,</t>
  </si>
  <si>
    <t>8/17/23,</t>
  </si>
  <si>
    <t>9/16/24,</t>
  </si>
  <si>
    <t>8/18/23,</t>
  </si>
  <si>
    <t>9/17/24,</t>
  </si>
  <si>
    <t>8/19/23,</t>
  </si>
  <si>
    <t>9/18/24,</t>
  </si>
  <si>
    <t>8/20/23,</t>
  </si>
  <si>
    <t>9/19/24,</t>
  </si>
  <si>
    <t>8/21/23,</t>
  </si>
  <si>
    <t>9/20/24,</t>
  </si>
  <si>
    <t xml:space="preserve">8/22/23, </t>
  </si>
  <si>
    <t>9/21/24,</t>
  </si>
  <si>
    <t>8/23/23,</t>
  </si>
  <si>
    <t>9/22/24,</t>
  </si>
  <si>
    <t>8/24/23,</t>
  </si>
  <si>
    <t>9/23/24,</t>
  </si>
  <si>
    <t>8/25/23,</t>
  </si>
  <si>
    <t>9/24/24,</t>
  </si>
  <si>
    <t>8/26/23,</t>
  </si>
  <si>
    <t>9/25/24,</t>
  </si>
  <si>
    <t>8/27/23,</t>
  </si>
  <si>
    <t>9/26/24,</t>
  </si>
  <si>
    <t>8/28/23,</t>
  </si>
  <si>
    <t>9/27/24,</t>
  </si>
  <si>
    <t>8/29/23,</t>
  </si>
  <si>
    <t>9/28/24,</t>
  </si>
  <si>
    <t>8/30/23,</t>
  </si>
  <si>
    <t>9/29/24,</t>
  </si>
  <si>
    <t>8/31/23,</t>
  </si>
  <si>
    <t>9/30/24,</t>
  </si>
  <si>
    <t>9/1/23,</t>
  </si>
  <si>
    <t>10/1/24,</t>
  </si>
  <si>
    <t>9/2/23,</t>
  </si>
  <si>
    <t>10/2/24,</t>
  </si>
  <si>
    <t>9/3/23,</t>
  </si>
  <si>
    <t>10/3/24,</t>
  </si>
  <si>
    <t>9/4/23,</t>
  </si>
  <si>
    <t>10/4/24,</t>
  </si>
  <si>
    <t>9/5/23,</t>
  </si>
  <si>
    <t>10/5/24,</t>
  </si>
  <si>
    <t>9/6/23,</t>
  </si>
  <si>
    <t>10/6/24,</t>
  </si>
  <si>
    <t>9/7/23,</t>
  </si>
  <si>
    <t>10/7/24,</t>
  </si>
  <si>
    <t>9/8/23,</t>
  </si>
  <si>
    <t>10/8/24,</t>
  </si>
  <si>
    <t>9/9/23,</t>
  </si>
  <si>
    <t>10/9/24,</t>
  </si>
  <si>
    <t>9/10/23,</t>
  </si>
  <si>
    <t>10/10/24,</t>
  </si>
  <si>
    <t>9/11/23,</t>
  </si>
  <si>
    <t>10/11/24,</t>
  </si>
  <si>
    <t>9/12/23,</t>
  </si>
  <si>
    <t>10/12/24,</t>
  </si>
  <si>
    <t>9/13/23,</t>
  </si>
  <si>
    <t>10/13/24,</t>
  </si>
  <si>
    <t>9/14/23,</t>
  </si>
  <si>
    <t>10/14/24,</t>
  </si>
  <si>
    <t>9/15/23,</t>
  </si>
  <si>
    <t>10/15/24,</t>
  </si>
  <si>
    <t>9/16/23,</t>
  </si>
  <si>
    <t>10/16/24,</t>
  </si>
  <si>
    <t>9/17/23,</t>
  </si>
  <si>
    <t>10/17/24,</t>
  </si>
  <si>
    <t>9/18/23,</t>
  </si>
  <si>
    <t>10/18/24,</t>
  </si>
  <si>
    <t>9/19/23,</t>
  </si>
  <si>
    <t>10/19/24,</t>
  </si>
  <si>
    <t>9/20/23,</t>
  </si>
  <si>
    <t>10/20/24,</t>
  </si>
  <si>
    <t>9/21/23,</t>
  </si>
  <si>
    <t>10/21/24,</t>
  </si>
  <si>
    <t>9/22/23,</t>
  </si>
  <si>
    <t>10/22/24,</t>
  </si>
  <si>
    <t>9/23/23,</t>
  </si>
  <si>
    <t>10/23/24,</t>
  </si>
  <si>
    <t>9/24/23,</t>
  </si>
  <si>
    <t>10/24/24,</t>
  </si>
  <si>
    <t>9/25/23,</t>
  </si>
  <si>
    <t>10/25/24,</t>
  </si>
  <si>
    <t>9/26/23,</t>
  </si>
  <si>
    <t>10/26/24,</t>
  </si>
  <si>
    <t>9/27/23,</t>
  </si>
  <si>
    <t>10/27/24,</t>
  </si>
  <si>
    <t>9/28/23,</t>
  </si>
  <si>
    <t>10/28/24,</t>
  </si>
  <si>
    <t>9/29/23,</t>
  </si>
  <si>
    <t>10/29/24,</t>
  </si>
  <si>
    <t>9/30/23,</t>
  </si>
  <si>
    <t>10/30/24,</t>
  </si>
  <si>
    <t>10/1/23,</t>
  </si>
  <si>
    <t>10/31/24,</t>
  </si>
  <si>
    <t>10/2/23,</t>
  </si>
  <si>
    <t>11/1/24,</t>
  </si>
  <si>
    <t>10/3/23,</t>
  </si>
  <si>
    <t>11/2/24,</t>
  </si>
  <si>
    <t>10/4/23,</t>
  </si>
  <si>
    <t>11/3/24,</t>
  </si>
  <si>
    <t>10/5/23,</t>
  </si>
  <si>
    <t>11/4/24,</t>
  </si>
  <si>
    <t>10/6/23,</t>
  </si>
  <si>
    <t>11/5/24,</t>
  </si>
  <si>
    <t>10/7/23,</t>
  </si>
  <si>
    <t>11/6/24,</t>
  </si>
  <si>
    <t>10/8/23,</t>
  </si>
  <si>
    <t>11/7/24,</t>
  </si>
  <si>
    <t>10/9/23,</t>
  </si>
  <si>
    <t>11/8/24,</t>
  </si>
  <si>
    <t>10/10/23,</t>
  </si>
  <si>
    <t>11/9/24,</t>
  </si>
  <si>
    <t>10/11/23,</t>
  </si>
  <si>
    <t>11/10/24,</t>
  </si>
  <si>
    <t>10/12/23,</t>
  </si>
  <si>
    <t>11/11/24,</t>
  </si>
  <si>
    <t>10/13/23,</t>
  </si>
  <si>
    <t>11/12/24,</t>
  </si>
  <si>
    <t>10/14/23,</t>
  </si>
  <si>
    <t>11/13/24,</t>
  </si>
  <si>
    <t>10/15/23,</t>
  </si>
  <si>
    <t>11/14/24,</t>
  </si>
  <si>
    <t>10/16/23,</t>
  </si>
  <si>
    <t>11/15/24,</t>
  </si>
  <si>
    <t>10/17/23,</t>
  </si>
  <si>
    <t>11/16/24,</t>
  </si>
  <si>
    <t>10/18/23,</t>
  </si>
  <si>
    <t>11/17/24,</t>
  </si>
  <si>
    <t>10/19/23,</t>
  </si>
  <si>
    <t>11/18/24,</t>
  </si>
  <si>
    <t>10/20/23,</t>
  </si>
  <si>
    <t>11/19/24,</t>
  </si>
  <si>
    <t>10/21/23,</t>
  </si>
  <si>
    <t>11/20/24,</t>
  </si>
  <si>
    <t>10/22/23,</t>
  </si>
  <si>
    <t>11/21/24,</t>
  </si>
  <si>
    <t>10/23/23,</t>
  </si>
  <si>
    <t>11/22/24,</t>
  </si>
  <si>
    <t>10/24/23</t>
  </si>
  <si>
    <t>11/23/24,</t>
  </si>
  <si>
    <t>10/25/23</t>
  </si>
  <si>
    <t>11/24/24,</t>
  </si>
  <si>
    <t>10/26/23</t>
  </si>
  <si>
    <t>11/25/24,</t>
  </si>
  <si>
    <t>10/27/23</t>
  </si>
  <si>
    <t>11/26/24,</t>
  </si>
  <si>
    <t>10/28/23</t>
  </si>
  <si>
    <t>11/27/24,</t>
  </si>
  <si>
    <t>10/29/23</t>
  </si>
  <si>
    <t>11/28/24,</t>
  </si>
  <si>
    <t>10/30/23</t>
  </si>
  <si>
    <t>11/29/24,</t>
  </si>
  <si>
    <t>10/31/23</t>
  </si>
  <si>
    <t>11/30/24,</t>
  </si>
  <si>
    <t>11/1/23</t>
  </si>
  <si>
    <t>12/1/24,</t>
  </si>
  <si>
    <t>11/2/23</t>
  </si>
  <si>
    <t>12/2/24,</t>
  </si>
  <si>
    <t>11/3/23</t>
  </si>
  <si>
    <t>12/3/24,</t>
  </si>
  <si>
    <t>11/4/23</t>
  </si>
  <si>
    <t>12/4/24,</t>
  </si>
  <si>
    <t>11/5/23</t>
  </si>
  <si>
    <t>12/5/24,</t>
  </si>
  <si>
    <t>11/6/23</t>
  </si>
  <si>
    <t>12/6/24,</t>
  </si>
  <si>
    <t>11/7/23</t>
  </si>
  <si>
    <t>12/7/24,</t>
  </si>
  <si>
    <t>11/8/23</t>
  </si>
  <si>
    <t>12/8/24,</t>
  </si>
  <si>
    <t>11/9/23</t>
  </si>
  <si>
    <t>12/9/24,</t>
  </si>
  <si>
    <t>11/10/23</t>
  </si>
  <si>
    <t>12/10/24,</t>
  </si>
  <si>
    <t>11/11/23</t>
  </si>
  <si>
    <t>12/11/24,</t>
  </si>
  <si>
    <t>11/12/23</t>
  </si>
  <si>
    <t>12/12/24,</t>
  </si>
  <si>
    <t>11/13/23</t>
  </si>
  <si>
    <t>12/13/24,</t>
  </si>
  <si>
    <t>11/14/23</t>
  </si>
  <si>
    <t>12/14/24,</t>
  </si>
  <si>
    <t>11/15/23</t>
  </si>
  <si>
    <t>12/15/24,</t>
  </si>
  <si>
    <t>11/16/23</t>
  </si>
  <si>
    <t>12/16/24,</t>
  </si>
  <si>
    <t>12/17/24,</t>
  </si>
  <si>
    <t>12/18/24,</t>
  </si>
  <si>
    <t>12/19/24,</t>
  </si>
  <si>
    <t>12/20/24,</t>
  </si>
  <si>
    <t>12/21/24,</t>
  </si>
  <si>
    <t>12/22/24,</t>
  </si>
  <si>
    <t>First spike depth</t>
  </si>
  <si>
    <t>10/13/2020</t>
  </si>
  <si>
    <t>3200</t>
  </si>
  <si>
    <t>2900</t>
  </si>
  <si>
    <t>2000</t>
  </si>
  <si>
    <t>2700</t>
  </si>
  <si>
    <t>1700</t>
  </si>
  <si>
    <t>2500</t>
  </si>
  <si>
    <t>1900</t>
  </si>
  <si>
    <t>2100</t>
  </si>
  <si>
    <t>2200</t>
  </si>
  <si>
    <t>3000</t>
  </si>
  <si>
    <t>first spike</t>
  </si>
  <si>
    <t>AP</t>
  </si>
  <si>
    <t xml:space="preserve">spike depth </t>
  </si>
  <si>
    <t>-01.0</t>
  </si>
  <si>
    <t>-00.9</t>
  </si>
  <si>
    <t>-00.8</t>
  </si>
  <si>
    <t>-00.6</t>
  </si>
  <si>
    <t>-00.575</t>
  </si>
  <si>
    <t>-00.5</t>
  </si>
  <si>
    <t>00.0</t>
  </si>
  <si>
    <t>00.2</t>
  </si>
  <si>
    <t>00.25</t>
  </si>
  <si>
    <t>00.3</t>
  </si>
  <si>
    <t>00.4</t>
  </si>
  <si>
    <t>00.5</t>
  </si>
  <si>
    <t>00.8</t>
  </si>
  <si>
    <t>00.9</t>
  </si>
  <si>
    <t>01.0</t>
  </si>
  <si>
    <t>01.9</t>
  </si>
  <si>
    <t>01.95</t>
  </si>
  <si>
    <t>02.1</t>
  </si>
  <si>
    <t>02.3</t>
  </si>
  <si>
    <t>02.45</t>
  </si>
  <si>
    <t>02.6</t>
  </si>
  <si>
    <t>02.875</t>
  </si>
  <si>
    <t>02.9</t>
  </si>
  <si>
    <t>03.2</t>
  </si>
  <si>
    <t>04.55</t>
  </si>
  <si>
    <t>04.65</t>
  </si>
  <si>
    <t>04.9</t>
  </si>
  <si>
    <t>05.25</t>
  </si>
  <si>
    <t>05.4</t>
  </si>
  <si>
    <t>05.6</t>
  </si>
  <si>
    <t>05.85</t>
  </si>
  <si>
    <t>05.9</t>
  </si>
  <si>
    <t>05.95</t>
  </si>
  <si>
    <t>06.15</t>
  </si>
  <si>
    <t>average depth of first spike (µm)</t>
  </si>
  <si>
    <t>-00.7</t>
  </si>
  <si>
    <t>-00.4</t>
  </si>
  <si>
    <t>-00.3</t>
  </si>
  <si>
    <t>-00.2</t>
  </si>
  <si>
    <t>-00.1</t>
  </si>
  <si>
    <t>00.1</t>
  </si>
  <si>
    <t>00.6</t>
  </si>
  <si>
    <t>00.7</t>
  </si>
  <si>
    <t>01.1</t>
  </si>
  <si>
    <t>01.2</t>
  </si>
  <si>
    <t>01.3</t>
  </si>
  <si>
    <t>01.4</t>
  </si>
  <si>
    <t>01.5</t>
  </si>
  <si>
    <t>01.6</t>
  </si>
  <si>
    <t>01.7</t>
  </si>
  <si>
    <t>01.8</t>
  </si>
  <si>
    <t>02.0</t>
  </si>
  <si>
    <t>02.2</t>
  </si>
  <si>
    <t>02.4</t>
  </si>
  <si>
    <t>02.5</t>
  </si>
  <si>
    <t>02.7</t>
  </si>
  <si>
    <t>02.8</t>
  </si>
  <si>
    <t>03.0</t>
  </si>
  <si>
    <t>03.1</t>
  </si>
  <si>
    <t>03.3</t>
  </si>
  <si>
    <t>03.4</t>
  </si>
  <si>
    <t>03.5</t>
  </si>
  <si>
    <t>03.6</t>
  </si>
  <si>
    <t>03.7</t>
  </si>
  <si>
    <t>03.8</t>
  </si>
  <si>
    <t>03.9</t>
  </si>
  <si>
    <t>04.0</t>
  </si>
  <si>
    <t>04.1</t>
  </si>
  <si>
    <t>04.2</t>
  </si>
  <si>
    <t>04.3</t>
  </si>
  <si>
    <t>04.4</t>
  </si>
  <si>
    <t>04.5</t>
  </si>
  <si>
    <t>04.6</t>
  </si>
  <si>
    <t>04.7</t>
  </si>
  <si>
    <t>04.8</t>
  </si>
  <si>
    <t>05.0</t>
  </si>
  <si>
    <t>05.1</t>
  </si>
  <si>
    <t>05.2</t>
  </si>
  <si>
    <t>05.3</t>
  </si>
  <si>
    <t>05.5</t>
  </si>
  <si>
    <t>05.7</t>
  </si>
  <si>
    <t>05.8</t>
  </si>
  <si>
    <t>06.0</t>
  </si>
  <si>
    <t>06.1</t>
  </si>
  <si>
    <t>06.2</t>
  </si>
  <si>
    <t>06.3</t>
  </si>
  <si>
    <t>06.4</t>
  </si>
  <si>
    <t>face expts only</t>
  </si>
  <si>
    <t>scene expts only</t>
  </si>
  <si>
    <t>learning expts E1</t>
  </si>
  <si>
    <t>learning expts E6</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</si>
</sst>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m/dd/yyyy"/>
    <numFmt numFmtId="166" formatCode="m/d/yy"/>
    <numFmt numFmtId="167" formatCode="yyyy-mm-dd"/>
    <numFmt numFmtId="168" formatCode="M/d/yyyy"/>
  </numFmts>
  <fonts count="39">
    <font>
      <sz val="10.0"/>
      <color rgb="FF000000"/>
      <name val="Arial"/>
      <scheme val="minor"/>
    </font>
    <font>
      <b/>
      <color theme="1"/>
      <name val="Arial"/>
      <scheme val="minor"/>
    </font>
    <font>
      <color theme="1"/>
      <name val="Arial"/>
      <scheme val="minor"/>
    </font>
    <font>
      <color rgb="FFD9D9D9"/>
      <name val="Arial"/>
      <scheme val="minor"/>
    </font>
    <font>
      <color rgb="FF000000"/>
      <name val="Arial"/>
      <scheme val="minor"/>
    </font>
    <font>
      <color rgb="FFCCCCCC"/>
      <name val="Arial"/>
      <scheme val="minor"/>
    </font>
    <font>
      <sz val="10.0"/>
      <color rgb="FF000000"/>
      <name val="Arial"/>
    </font>
    <font>
      <u/>
      <color theme="1"/>
      <name val="Arial"/>
      <scheme val="minor"/>
    </font>
    <font>
      <u/>
      <color theme="1"/>
      <name val="Arial"/>
      <scheme val="minor"/>
    </font>
    <font>
      <sz val="10.0"/>
      <color rgb="FF000000"/>
      <name val="Roboto"/>
    </font>
    <font>
      <b/>
      <sz val="10.0"/>
      <color rgb="FF000000"/>
      <name val="Roboto"/>
    </font>
    <font>
      <sz val="9.0"/>
      <color rgb="FF000000"/>
      <name val="Roboto"/>
    </font>
    <font>
      <color rgb="FF000000"/>
      <name val="Arial"/>
    </font>
    <font>
      <b/>
      <color rgb="FF000000"/>
      <name val="Arial"/>
    </font>
    <font>
      <b/>
      <color rgb="FF38761D"/>
      <name val="Arial"/>
      <scheme val="minor"/>
    </font>
    <font>
      <b/>
      <color theme="1"/>
      <name val="Arial"/>
    </font>
    <font>
      <b/>
      <color rgb="FFB7B7B7"/>
      <name val="Arial"/>
    </font>
    <font>
      <color theme="1"/>
      <name val="Arial"/>
    </font>
    <font>
      <color rgb="FF0000FF"/>
      <name val="Arial"/>
    </font>
    <font>
      <color rgb="FFB7B7B7"/>
      <name val="Arial"/>
    </font>
    <font>
      <color rgb="FF0000FF"/>
      <name val="Arial"/>
      <scheme val="minor"/>
    </font>
    <font>
      <color rgb="FFB7B7B7"/>
      <name val="Arial"/>
      <scheme val="minor"/>
    </font>
    <font>
      <sz val="11.0"/>
      <color rgb="FF1D1C1D"/>
      <name val="Slack-Lato"/>
    </font>
    <font>
      <strike/>
      <color theme="1"/>
      <name val="Arial"/>
      <scheme val="minor"/>
    </font>
    <font>
      <i/>
      <u/>
      <color theme="1"/>
      <name val="Arial"/>
      <scheme val="minor"/>
    </font>
    <font>
      <sz val="11.0"/>
      <color rgb="FF1D1C1D"/>
      <name val="Arial"/>
    </font>
    <font>
      <color rgb="FFFF0000"/>
      <name val="Arial"/>
      <scheme val="minor"/>
    </font>
    <font>
      <color rgb="FF2E7903"/>
      <name val="Arial"/>
      <scheme val="minor"/>
    </font>
    <font>
      <strike/>
      <color rgb="FF2E7903"/>
      <name val="Arial"/>
    </font>
    <font>
      <strike/>
      <color rgb="FF2E7903"/>
      <name val="Arial"/>
      <scheme val="minor"/>
    </font>
    <font>
      <strike/>
      <color rgb="FFFF0000"/>
      <name val="Arial"/>
    </font>
    <font>
      <strike/>
      <color rgb="FFFF0000"/>
      <name val="Arial"/>
      <scheme val="minor"/>
    </font>
    <font>
      <strike/>
      <color rgb="FF0000FF"/>
      <name val="Arial"/>
    </font>
    <font>
      <strike/>
      <color rgb="FF0000FF"/>
      <name val="Arial"/>
      <scheme val="minor"/>
    </font>
    <font>
      <b/>
      <strike/>
      <color rgb="FF2E7903"/>
      <name val="Arial"/>
    </font>
    <font>
      <strike/>
      <color theme="1"/>
      <name val="Arial"/>
    </font>
    <font>
      <strike/>
      <color rgb="FF000000"/>
      <name val="Arial"/>
    </font>
    <font>
      <strike/>
      <color rgb="FF000000"/>
      <name val="Arial"/>
      <scheme val="minor"/>
    </font>
    <font>
      <b/>
      <strike/>
      <color rgb="FF0000FF"/>
      <name val="Arial"/>
    </font>
  </fonts>
  <fills count="2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CCCCCC"/>
        <bgColor rgb="FFCCCCCC"/>
      </patternFill>
    </fill>
    <fill>
      <patternFill patternType="solid">
        <fgColor rgb="FFEFEFEF"/>
        <bgColor rgb="FFEFEFEF"/>
      </patternFill>
    </fill>
    <fill>
      <patternFill patternType="solid">
        <fgColor rgb="FF00FFFF"/>
        <bgColor rgb="FF00FFFF"/>
      </patternFill>
    </fill>
    <fill>
      <patternFill patternType="solid">
        <fgColor rgb="FFB4A7D6"/>
        <bgColor rgb="FFB4A7D6"/>
      </patternFill>
    </fill>
    <fill>
      <patternFill patternType="solid">
        <fgColor rgb="FF00FF00"/>
        <bgColor rgb="FF00FF00"/>
      </patternFill>
    </fill>
    <fill>
      <patternFill patternType="solid">
        <fgColor theme="5"/>
        <bgColor theme="5"/>
      </patternFill>
    </fill>
    <fill>
      <patternFill patternType="solid">
        <fgColor rgb="FFFF8BCF"/>
        <bgColor rgb="FFFF8BCF"/>
      </patternFill>
    </fill>
    <fill>
      <patternFill patternType="solid">
        <fgColor rgb="FF6AA84F"/>
        <bgColor rgb="FF6AA84F"/>
      </patternFill>
    </fill>
    <fill>
      <patternFill patternType="solid">
        <fgColor rgb="FFCFE2F3"/>
        <bgColor rgb="FFCFE2F3"/>
      </patternFill>
    </fill>
    <fill>
      <patternFill patternType="solid">
        <fgColor rgb="FFFF9900"/>
        <bgColor rgb="FFFF9900"/>
      </patternFill>
    </fill>
    <fill>
      <patternFill patternType="solid">
        <fgColor rgb="FFFCE5CD"/>
        <bgColor rgb="FFFCE5CD"/>
      </patternFill>
    </fill>
    <fill>
      <patternFill patternType="solid">
        <fgColor rgb="FFC9DAF8"/>
        <bgColor rgb="FFC9DAF8"/>
      </patternFill>
    </fill>
    <fill>
      <patternFill patternType="solid">
        <fgColor rgb="FFD0E0E3"/>
        <bgColor rgb="FFD0E0E3"/>
      </patternFill>
    </fill>
    <fill>
      <patternFill patternType="solid">
        <fgColor rgb="FFD9D2E9"/>
        <bgColor rgb="FFD9D2E9"/>
      </patternFill>
    </fill>
    <fill>
      <patternFill patternType="solid">
        <fgColor rgb="FFE6B8AF"/>
        <bgColor rgb="FFE6B8AF"/>
      </patternFill>
    </fill>
    <fill>
      <patternFill patternType="solid">
        <fgColor rgb="FFEAD1DC"/>
        <bgColor rgb="FFEAD1DC"/>
      </patternFill>
    </fill>
    <fill>
      <patternFill patternType="solid">
        <fgColor rgb="FFD9EAD3"/>
        <bgColor rgb="FFD9EAD3"/>
      </patternFill>
    </fill>
    <fill>
      <patternFill patternType="solid">
        <fgColor rgb="FFF3F3F3"/>
        <bgColor rgb="FFF3F3F3"/>
      </patternFill>
    </fill>
    <fill>
      <patternFill patternType="solid">
        <fgColor rgb="FFF4CCCC"/>
        <bgColor rgb="FFF4CCCC"/>
      </patternFill>
    </fill>
    <fill>
      <patternFill patternType="solid">
        <fgColor rgb="FFD9D9D9"/>
        <bgColor rgb="FFD9D9D9"/>
      </patternFill>
    </fill>
  </fills>
  <borders count="1">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Alignment="1" applyFont="1">
      <alignment readingOrder="0"/>
    </xf>
    <xf borderId="0" fillId="0" fontId="2" numFmtId="49"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0"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2" fontId="6" numFmtId="0" xfId="0" applyAlignment="1" applyFill="1" applyFont="1">
      <alignment horizontal="left" readingOrder="0"/>
    </xf>
    <xf borderId="0" fillId="0" fontId="2" numFmtId="49" xfId="0" applyFont="1" applyNumberFormat="1"/>
    <xf borderId="0" fillId="0" fontId="7" numFmtId="0" xfId="0" applyAlignment="1" applyFont="1">
      <alignment readingOrder="0"/>
    </xf>
    <xf borderId="0" fillId="0" fontId="8" numFmtId="0" xfId="0" applyAlignment="1" applyFont="1">
      <alignment readingOrder="0"/>
    </xf>
    <xf borderId="0" fillId="3" fontId="9" numFmtId="0" xfId="0" applyAlignment="1" applyFill="1" applyFont="1">
      <alignment readingOrder="0"/>
    </xf>
    <xf borderId="0" fillId="3" fontId="10" numFmtId="0" xfId="0" applyAlignment="1" applyFont="1">
      <alignment readingOrder="0"/>
    </xf>
    <xf borderId="0" fillId="0" fontId="11" numFmtId="0" xfId="0" applyAlignment="1" applyFont="1">
      <alignment readingOrder="0"/>
    </xf>
    <xf borderId="0" fillId="0" fontId="11" numFmtId="0" xfId="0" applyAlignment="1" applyFont="1">
      <alignment readingOrder="0"/>
    </xf>
    <xf borderId="0" fillId="2" fontId="12" numFmtId="0" xfId="0" applyAlignment="1" applyFont="1">
      <alignment horizontal="left" readingOrder="0"/>
    </xf>
    <xf borderId="0" fillId="0" fontId="2" numFmtId="49" xfId="0" applyAlignment="1" applyFont="1" applyNumberFormat="1">
      <alignment horizontal="right" readingOrder="0"/>
    </xf>
    <xf borderId="0" fillId="0" fontId="12" numFmtId="0" xfId="0" applyAlignment="1" applyFont="1">
      <alignment horizontal="left" readingOrder="0"/>
    </xf>
    <xf borderId="0" fillId="0" fontId="13" numFmtId="0" xfId="0" applyAlignment="1" applyFont="1">
      <alignment horizontal="left" readingOrder="0"/>
    </xf>
    <xf borderId="0" fillId="2" fontId="13" numFmtId="0" xfId="0" applyAlignment="1" applyFont="1">
      <alignment horizontal="left" readingOrder="0"/>
    </xf>
    <xf borderId="0" fillId="0" fontId="2" numFmtId="0" xfId="0" applyAlignment="1" applyFont="1">
      <alignment readingOrder="0"/>
    </xf>
    <xf borderId="0" fillId="0" fontId="14" numFmtId="0" xfId="0" applyAlignment="1" applyFont="1">
      <alignment readingOrder="0"/>
    </xf>
    <xf borderId="0" fillId="2" fontId="2" numFmtId="49" xfId="0" applyAlignment="1" applyFont="1" applyNumberFormat="1">
      <alignment readingOrder="0"/>
    </xf>
    <xf borderId="0" fillId="4" fontId="2" numFmtId="49" xfId="0" applyAlignment="1" applyFill="1" applyFont="1" applyNumberFormat="1">
      <alignment readingOrder="0"/>
    </xf>
    <xf borderId="0" fillId="0" fontId="12" numFmtId="0" xfId="0" applyAlignment="1" applyFont="1">
      <alignment horizontal="left" readingOrder="0"/>
    </xf>
    <xf borderId="0" fillId="0" fontId="2" numFmtId="0" xfId="0" applyAlignment="1" applyFont="1">
      <alignment horizontal="lef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15" numFmtId="0" xfId="0" applyAlignment="1" applyFont="1">
      <alignment vertical="bottom"/>
    </xf>
    <xf borderId="0" fillId="0" fontId="15" numFmtId="0" xfId="0" applyAlignment="1" applyFont="1">
      <alignment horizontal="left" vertical="bottom"/>
    </xf>
    <xf borderId="0" fillId="0" fontId="15" numFmtId="49" xfId="0" applyAlignment="1" applyFont="1" applyNumberFormat="1">
      <alignment vertical="bottom"/>
    </xf>
    <xf borderId="0" fillId="0" fontId="15" numFmtId="0" xfId="0" applyAlignment="1" applyFont="1">
      <alignment readingOrder="0" shrinkToFit="0" vertical="bottom" wrapText="0"/>
    </xf>
    <xf borderId="0" fillId="0" fontId="15" numFmtId="0" xfId="0" applyAlignment="1" applyFont="1">
      <alignment readingOrder="0" vertical="bottom"/>
    </xf>
    <xf borderId="0" fillId="0" fontId="16" numFmtId="0" xfId="0" applyAlignment="1" applyFont="1">
      <alignment shrinkToFit="0" vertical="bottom" wrapText="0"/>
    </xf>
    <xf borderId="0" fillId="0" fontId="16" numFmtId="0" xfId="0" applyAlignment="1" applyFont="1">
      <alignment readingOrder="0" shrinkToFit="0" vertical="bottom" wrapText="0"/>
    </xf>
    <xf borderId="0" fillId="0" fontId="17" numFmtId="0" xfId="0" applyAlignment="1" applyFont="1">
      <alignment vertical="bottom"/>
    </xf>
    <xf borderId="0" fillId="0" fontId="17" numFmtId="166" xfId="0" applyAlignment="1" applyFont="1" applyNumberFormat="1">
      <alignment horizontal="right" vertical="bottom"/>
    </xf>
    <xf borderId="0" fillId="0" fontId="17" numFmtId="0" xfId="0" applyAlignment="1" applyFont="1">
      <alignment horizontal="left" vertical="bottom"/>
    </xf>
    <xf borderId="0" fillId="0" fontId="17" numFmtId="49" xfId="0" applyAlignment="1" applyFont="1" applyNumberFormat="1">
      <alignment vertical="bottom"/>
    </xf>
    <xf borderId="0" fillId="0" fontId="17" numFmtId="0" xfId="0" applyAlignment="1" applyFont="1">
      <alignment readingOrder="0" vertical="bottom"/>
    </xf>
    <xf borderId="0" fillId="0" fontId="18" numFmtId="0" xfId="0" applyAlignment="1" applyFont="1">
      <alignment readingOrder="0" vertical="bottom"/>
    </xf>
    <xf borderId="0" fillId="0" fontId="17" numFmtId="0" xfId="0" applyAlignment="1" applyFont="1">
      <alignment shrinkToFit="0" vertical="bottom" wrapText="0"/>
    </xf>
    <xf borderId="0" fillId="0" fontId="19" numFmtId="0" xfId="0" applyAlignment="1" applyFont="1">
      <alignment readingOrder="0" vertical="bottom"/>
    </xf>
    <xf borderId="0" fillId="0" fontId="17" numFmtId="166" xfId="0" applyAlignment="1" applyFont="1" applyNumberFormat="1">
      <alignment horizontal="right" readingOrder="0" vertical="bottom"/>
    </xf>
    <xf borderId="0" fillId="0" fontId="17" numFmtId="0" xfId="0" applyAlignment="1" applyFont="1">
      <alignment horizontal="left" readingOrder="0" vertical="bottom"/>
    </xf>
    <xf borderId="0" fillId="0" fontId="17" numFmtId="49" xfId="0" applyAlignment="1" applyFont="1" applyNumberFormat="1">
      <alignment readingOrder="0" vertical="bottom"/>
    </xf>
    <xf borderId="0" fillId="0" fontId="20" numFmtId="0" xfId="0" applyAlignment="1" applyFont="1">
      <alignment readingOrder="0"/>
    </xf>
    <xf borderId="0" fillId="0" fontId="21" numFmtId="0" xfId="0" applyAlignment="1" applyFont="1">
      <alignment readingOrder="0"/>
    </xf>
    <xf borderId="0" fillId="3" fontId="2" numFmtId="164" xfId="0" applyAlignment="1" applyFont="1" applyNumberFormat="1">
      <alignment readingOrder="0"/>
    </xf>
    <xf borderId="0" fillId="0" fontId="21" numFmtId="0" xfId="0" applyFont="1"/>
    <xf borderId="0" fillId="5" fontId="2" numFmtId="164" xfId="0" applyAlignment="1" applyFill="1" applyFont="1" applyNumberFormat="1">
      <alignment readingOrder="0"/>
    </xf>
    <xf borderId="0" fillId="0" fontId="15" numFmtId="166" xfId="0" applyAlignment="1" applyFont="1" applyNumberFormat="1">
      <alignment horizontal="right" vertical="bottom"/>
    </xf>
    <xf borderId="0" fillId="0" fontId="17" numFmtId="0" xfId="0" applyAlignment="1" applyFont="1">
      <alignment readingOrder="0" shrinkToFit="0" vertical="bottom" wrapText="0"/>
    </xf>
    <xf borderId="0" fillId="0" fontId="19" numFmtId="0" xfId="0" applyAlignment="1" applyFont="1">
      <alignment vertical="bottom"/>
    </xf>
    <xf borderId="0" fillId="0" fontId="2" numFmtId="167" xfId="0" applyAlignment="1" applyFont="1" applyNumberFormat="1">
      <alignment readingOrder="0"/>
    </xf>
    <xf borderId="0" fillId="0" fontId="22" numFmtId="167" xfId="0" applyAlignment="1" applyFont="1" applyNumberFormat="1">
      <alignment horizontal="left" readingOrder="0"/>
    </xf>
    <xf borderId="0" fillId="2" fontId="18" numFmtId="0" xfId="0" applyAlignment="1" applyFont="1">
      <alignment horizontal="left" readingOrder="0"/>
    </xf>
    <xf borderId="0" fillId="0" fontId="17" numFmtId="49" xfId="0" applyAlignment="1" applyFont="1" applyNumberFormat="1">
      <alignment horizontal="left" vertical="bottom"/>
    </xf>
    <xf borderId="0" fillId="0" fontId="17" numFmtId="49" xfId="0" applyAlignment="1" applyFont="1" applyNumberFormat="1">
      <alignment horizontal="right" readingOrder="0" vertical="bottom"/>
    </xf>
    <xf borderId="0" fillId="0" fontId="17" numFmtId="49" xfId="0" applyAlignment="1" applyFont="1" applyNumberFormat="1">
      <alignment horizontal="left" readingOrder="0" vertical="bottom"/>
    </xf>
    <xf borderId="0" fillId="0" fontId="23" numFmtId="166" xfId="0" applyAlignment="1" applyFont="1" applyNumberFormat="1">
      <alignment readingOrder="0"/>
    </xf>
    <xf borderId="0" fillId="0" fontId="2" numFmtId="0" xfId="0" applyAlignment="1" applyFont="1">
      <alignment horizontal="left"/>
    </xf>
    <xf borderId="0" fillId="0" fontId="17" numFmtId="166" xfId="0" applyAlignment="1" applyFont="1" applyNumberFormat="1">
      <alignment horizontal="right" readingOrder="0" vertical="bottom"/>
    </xf>
    <xf borderId="0" fillId="0" fontId="24" numFmtId="0" xfId="0" applyAlignment="1" applyFont="1">
      <alignment readingOrder="0"/>
    </xf>
    <xf borderId="0" fillId="0" fontId="2" numFmtId="166" xfId="0" applyAlignment="1" applyFont="1" applyNumberFormat="1">
      <alignment readingOrder="0"/>
    </xf>
    <xf borderId="0" fillId="0" fontId="25" numFmtId="167" xfId="0" applyAlignment="1" applyFont="1" applyNumberFormat="1">
      <alignment horizontal="left" readingOrder="0"/>
    </xf>
    <xf borderId="0" fillId="0" fontId="2" numFmtId="168" xfId="0" applyAlignment="1" applyFont="1" applyNumberFormat="1">
      <alignment readingOrder="0"/>
    </xf>
    <xf borderId="0" fillId="0" fontId="4" numFmtId="0" xfId="0" applyFont="1"/>
    <xf borderId="0" fillId="0" fontId="2" numFmtId="168" xfId="0" applyFont="1" applyNumberFormat="1"/>
    <xf borderId="0" fillId="0" fontId="2" numFmtId="3" xfId="0" applyAlignment="1" applyFont="1" applyNumberFormat="1">
      <alignment readingOrder="0"/>
    </xf>
    <xf borderId="0" fillId="6" fontId="2" numFmtId="168" xfId="0" applyAlignment="1" applyFill="1" applyFont="1" applyNumberFormat="1">
      <alignment readingOrder="0"/>
    </xf>
    <xf borderId="0" fillId="6" fontId="2" numFmtId="0" xfId="0" applyFont="1"/>
    <xf borderId="0" fillId="6" fontId="4" numFmtId="0" xfId="0" applyAlignment="1" applyFont="1">
      <alignment readingOrder="0"/>
    </xf>
    <xf borderId="0" fillId="6" fontId="21" numFmtId="0" xfId="0" applyAlignment="1" applyFont="1">
      <alignment readingOrder="0"/>
    </xf>
    <xf borderId="0" fillId="2" fontId="2" numFmtId="168" xfId="0" applyAlignment="1" applyFont="1" applyNumberFormat="1">
      <alignment readingOrder="0"/>
    </xf>
    <xf borderId="0" fillId="2" fontId="2" numFmtId="0" xfId="0" applyAlignment="1" applyFont="1">
      <alignment readingOrder="0"/>
    </xf>
    <xf borderId="0" fillId="2" fontId="4" numFmtId="0" xfId="0" applyAlignment="1" applyFont="1">
      <alignment readingOrder="0"/>
    </xf>
    <xf borderId="0" fillId="2" fontId="2" numFmtId="0" xfId="0" applyFont="1"/>
    <xf borderId="0" fillId="2" fontId="4" numFmtId="0" xfId="0" applyFont="1"/>
    <xf borderId="0" fillId="0" fontId="17" numFmtId="0" xfId="0" applyAlignment="1" applyFont="1">
      <alignment horizontal="right" vertical="bottom"/>
    </xf>
    <xf borderId="0" fillId="0" fontId="2" numFmtId="0" xfId="0" applyFont="1"/>
    <xf borderId="0" fillId="0" fontId="26" numFmtId="49" xfId="0" applyAlignment="1" applyFont="1" applyNumberFormat="1">
      <alignment readingOrder="0"/>
    </xf>
    <xf borderId="0" fillId="0" fontId="26" numFmtId="0" xfId="0" applyAlignment="1" applyFont="1">
      <alignment readingOrder="0"/>
    </xf>
    <xf borderId="0" fillId="7" fontId="2" numFmtId="0" xfId="0" applyAlignment="1" applyFill="1" applyFont="1">
      <alignment readingOrder="0"/>
    </xf>
    <xf borderId="0" fillId="3" fontId="2" numFmtId="0" xfId="0" applyAlignment="1" applyFont="1">
      <alignment readingOrder="0"/>
    </xf>
    <xf borderId="0" fillId="3" fontId="2" numFmtId="0" xfId="0" applyFont="1"/>
    <xf borderId="0" fillId="8" fontId="2" numFmtId="0" xfId="0" applyFill="1" applyFont="1"/>
    <xf borderId="0" fillId="9" fontId="2" numFmtId="0" xfId="0" applyAlignment="1" applyFill="1" applyFont="1">
      <alignment readingOrder="0"/>
    </xf>
    <xf borderId="0" fillId="10" fontId="2" numFmtId="0" xfId="0" applyAlignment="1" applyFill="1" applyFont="1">
      <alignment readingOrder="0"/>
    </xf>
    <xf borderId="0" fillId="11" fontId="2" numFmtId="0" xfId="0" applyFill="1" applyFont="1"/>
    <xf borderId="0" fillId="12" fontId="2" numFmtId="0" xfId="0" applyFill="1" applyFont="1"/>
    <xf borderId="0" fillId="13" fontId="2" numFmtId="0" xfId="0" applyFill="1" applyFont="1"/>
    <xf borderId="0" fillId="9" fontId="2" numFmtId="0" xfId="0" applyFont="1"/>
    <xf borderId="0" fillId="10" fontId="2" numFmtId="0" xfId="0" applyFont="1"/>
    <xf borderId="0" fillId="7" fontId="2" numFmtId="0" xfId="0" applyFont="1"/>
    <xf borderId="0" fillId="14" fontId="2" numFmtId="0" xfId="0" applyFill="1" applyFont="1"/>
    <xf borderId="0" fillId="15" fontId="2" numFmtId="0" xfId="0" applyFill="1" applyFont="1"/>
    <xf borderId="0" fillId="14" fontId="2" numFmtId="0" xfId="0" applyAlignment="1" applyFont="1">
      <alignment readingOrder="0"/>
    </xf>
    <xf borderId="0" fillId="15" fontId="2" numFmtId="0" xfId="0" applyAlignment="1" applyFont="1">
      <alignment readingOrder="0"/>
    </xf>
    <xf borderId="0" fillId="8" fontId="2" numFmtId="0" xfId="0" applyAlignment="1" applyFont="1">
      <alignment readingOrder="0"/>
    </xf>
    <xf borderId="0" fillId="11" fontId="2" numFmtId="0" xfId="0" applyAlignment="1" applyFont="1">
      <alignment readingOrder="0"/>
    </xf>
    <xf borderId="0" fillId="16" fontId="2" numFmtId="0" xfId="0" applyAlignment="1" applyFill="1" applyFont="1">
      <alignment readingOrder="0"/>
    </xf>
    <xf borderId="0" fillId="12" fontId="2" numFmtId="0" xfId="0" applyAlignment="1" applyFont="1">
      <alignment readingOrder="0"/>
    </xf>
    <xf borderId="0" fillId="17" fontId="2" numFmtId="0" xfId="0" applyAlignment="1" applyFill="1" applyFont="1">
      <alignment readingOrder="0"/>
    </xf>
    <xf borderId="0" fillId="17" fontId="2" numFmtId="49" xfId="0" applyAlignment="1" applyFont="1" applyNumberFormat="1">
      <alignment readingOrder="0"/>
    </xf>
    <xf borderId="0" fillId="17" fontId="17" numFmtId="49" xfId="0" applyAlignment="1" applyFont="1" applyNumberFormat="1">
      <alignment horizontal="right" vertical="bottom"/>
    </xf>
    <xf borderId="0" fillId="17" fontId="17" numFmtId="49" xfId="0" applyAlignment="1" applyFont="1" applyNumberFormat="1">
      <alignment vertical="bottom"/>
    </xf>
    <xf borderId="0" fillId="18" fontId="2" numFmtId="0" xfId="0" applyAlignment="1" applyFill="1" applyFont="1">
      <alignment readingOrder="0"/>
    </xf>
    <xf borderId="0" fillId="18" fontId="2" numFmtId="49" xfId="0" applyAlignment="1" applyFont="1" applyNumberFormat="1">
      <alignment readingOrder="0"/>
    </xf>
    <xf borderId="0" fillId="18" fontId="17" numFmtId="49" xfId="0" applyAlignment="1" applyFont="1" applyNumberFormat="1">
      <alignment horizontal="right" vertical="bottom"/>
    </xf>
    <xf borderId="0" fillId="18" fontId="17" numFmtId="49" xfId="0" applyAlignment="1" applyFont="1" applyNumberFormat="1">
      <alignment vertical="bottom"/>
    </xf>
    <xf borderId="0" fillId="6" fontId="2" numFmtId="0" xfId="0" applyAlignment="1" applyFont="1">
      <alignment readingOrder="0"/>
    </xf>
    <xf borderId="0" fillId="6" fontId="2" numFmtId="49" xfId="0" applyAlignment="1" applyFont="1" applyNumberFormat="1">
      <alignment readingOrder="0"/>
    </xf>
    <xf borderId="0" fillId="6" fontId="17" numFmtId="49" xfId="0" applyAlignment="1" applyFont="1" applyNumberFormat="1">
      <alignment horizontal="right" vertical="bottom"/>
    </xf>
    <xf borderId="0" fillId="19" fontId="2" numFmtId="0" xfId="0" applyAlignment="1" applyFill="1" applyFont="1">
      <alignment readingOrder="0"/>
    </xf>
    <xf borderId="0" fillId="19" fontId="2" numFmtId="49" xfId="0" applyAlignment="1" applyFont="1" applyNumberFormat="1">
      <alignment readingOrder="0"/>
    </xf>
    <xf borderId="0" fillId="19" fontId="17" numFmtId="49" xfId="0" applyAlignment="1" applyFont="1" applyNumberFormat="1">
      <alignment horizontal="right" vertical="bottom"/>
    </xf>
    <xf borderId="0" fillId="15" fontId="2" numFmtId="49" xfId="0" applyAlignment="1" applyFont="1" applyNumberFormat="1">
      <alignment readingOrder="0"/>
    </xf>
    <xf borderId="0" fillId="15" fontId="17" numFmtId="49" xfId="0" applyAlignment="1" applyFont="1" applyNumberFormat="1">
      <alignment horizontal="right" vertical="bottom"/>
    </xf>
    <xf borderId="0" fillId="5" fontId="2" numFmtId="0" xfId="0" applyAlignment="1" applyFont="1">
      <alignment readingOrder="0"/>
    </xf>
    <xf borderId="0" fillId="5" fontId="2" numFmtId="49" xfId="0" applyAlignment="1" applyFont="1" applyNumberFormat="1">
      <alignment readingOrder="0"/>
    </xf>
    <xf borderId="0" fillId="5" fontId="17" numFmtId="49" xfId="0" applyAlignment="1" applyFont="1" applyNumberFormat="1">
      <alignment horizontal="right" vertical="bottom"/>
    </xf>
    <xf borderId="0" fillId="20" fontId="2" numFmtId="0" xfId="0" applyAlignment="1" applyFill="1" applyFont="1">
      <alignment readingOrder="0"/>
    </xf>
    <xf borderId="0" fillId="20" fontId="2" numFmtId="49" xfId="0" applyAlignment="1" applyFont="1" applyNumberFormat="1">
      <alignment readingOrder="0"/>
    </xf>
    <xf borderId="0" fillId="20" fontId="17" numFmtId="49" xfId="0" applyAlignment="1" applyFont="1" applyNumberFormat="1">
      <alignment horizontal="right" vertical="bottom"/>
    </xf>
    <xf borderId="0" fillId="20" fontId="17" numFmtId="49" xfId="0" applyAlignment="1" applyFont="1" applyNumberFormat="1">
      <alignment vertical="bottom"/>
    </xf>
    <xf borderId="0" fillId="21" fontId="2" numFmtId="0" xfId="0" applyAlignment="1" applyFill="1" applyFont="1">
      <alignment readingOrder="0"/>
    </xf>
    <xf borderId="0" fillId="21" fontId="2" numFmtId="49" xfId="0" applyAlignment="1" applyFont="1" applyNumberFormat="1">
      <alignment readingOrder="0"/>
    </xf>
    <xf borderId="0" fillId="4" fontId="2" numFmtId="0" xfId="0" applyAlignment="1" applyFont="1">
      <alignment readingOrder="0"/>
    </xf>
    <xf borderId="0" fillId="4" fontId="17" numFmtId="49" xfId="0" applyAlignment="1" applyFont="1" applyNumberFormat="1">
      <alignment horizontal="right" vertical="bottom"/>
    </xf>
    <xf borderId="0" fillId="4" fontId="17" numFmtId="49" xfId="0" applyAlignment="1" applyFont="1" applyNumberFormat="1">
      <alignment vertical="bottom"/>
    </xf>
    <xf borderId="0" fillId="13" fontId="2" numFmtId="0" xfId="0" applyAlignment="1" applyFont="1">
      <alignment readingOrder="0"/>
    </xf>
    <xf borderId="0" fillId="13" fontId="2" numFmtId="49" xfId="0" applyAlignment="1" applyFont="1" applyNumberFormat="1">
      <alignment readingOrder="0"/>
    </xf>
    <xf borderId="0" fillId="13" fontId="17" numFmtId="49" xfId="0" applyAlignment="1" applyFont="1" applyNumberFormat="1">
      <alignment horizontal="right" vertical="bottom"/>
    </xf>
    <xf borderId="0" fillId="22" fontId="2" numFmtId="0" xfId="0" applyAlignment="1" applyFill="1" applyFont="1">
      <alignment readingOrder="0"/>
    </xf>
    <xf borderId="0" fillId="22" fontId="2" numFmtId="49" xfId="0" applyAlignment="1" applyFont="1" applyNumberFormat="1">
      <alignment readingOrder="0"/>
    </xf>
    <xf borderId="0" fillId="22" fontId="17" numFmtId="49" xfId="0" applyAlignment="1" applyFont="1" applyNumberFormat="1">
      <alignment horizontal="right" vertical="bottom"/>
    </xf>
    <xf borderId="0" fillId="22" fontId="17" numFmtId="49" xfId="0" applyAlignment="1" applyFont="1" applyNumberFormat="1">
      <alignment vertical="bottom"/>
    </xf>
    <xf borderId="0" fillId="21" fontId="17" numFmtId="49" xfId="0" applyAlignment="1" applyFont="1" applyNumberFormat="1">
      <alignment horizontal="right" vertical="bottom"/>
    </xf>
    <xf borderId="0" fillId="23" fontId="2" numFmtId="0" xfId="0" applyAlignment="1" applyFill="1" applyFont="1">
      <alignment readingOrder="0"/>
    </xf>
    <xf borderId="0" fillId="23" fontId="2" numFmtId="49" xfId="0" applyAlignment="1" applyFont="1" applyNumberFormat="1">
      <alignment readingOrder="0"/>
    </xf>
    <xf borderId="0" fillId="23" fontId="17" numFmtId="49" xfId="0" applyAlignment="1" applyFont="1" applyNumberFormat="1">
      <alignment horizontal="right" vertical="bottom"/>
    </xf>
    <xf borderId="0" fillId="24" fontId="2" numFmtId="0" xfId="0" applyAlignment="1" applyFill="1" applyFont="1">
      <alignment readingOrder="0"/>
    </xf>
    <xf borderId="0" fillId="24" fontId="2" numFmtId="49" xfId="0" applyAlignment="1" applyFont="1" applyNumberFormat="1">
      <alignment readingOrder="0"/>
    </xf>
    <xf borderId="0" fillId="24" fontId="17" numFmtId="49" xfId="0" applyAlignment="1" applyFont="1" applyNumberFormat="1">
      <alignment horizontal="right" vertical="bottom"/>
    </xf>
    <xf borderId="0" fillId="20" fontId="17" numFmtId="49" xfId="0" applyAlignment="1" applyFont="1" applyNumberFormat="1">
      <alignment horizontal="right" readingOrder="0" vertical="bottom"/>
    </xf>
    <xf borderId="0" fillId="15" fontId="12" numFmtId="0" xfId="0" applyAlignment="1" applyFont="1">
      <alignment horizontal="left" readingOrder="0"/>
    </xf>
    <xf borderId="0" fillId="13" fontId="17" numFmtId="49" xfId="0" applyAlignment="1" applyFont="1" applyNumberFormat="1">
      <alignment vertical="bottom"/>
    </xf>
    <xf borderId="0" fillId="15" fontId="17" numFmtId="49" xfId="0" applyAlignment="1" applyFont="1" applyNumberFormat="1">
      <alignment vertical="bottom"/>
    </xf>
    <xf borderId="0" fillId="18" fontId="2" numFmtId="0" xfId="0" applyAlignment="1" applyFont="1">
      <alignment horizontal="left" readingOrder="0"/>
    </xf>
    <xf borderId="0" fillId="0" fontId="17" numFmtId="49" xfId="0" applyAlignment="1" applyFont="1" applyNumberFormat="1">
      <alignment horizontal="right" vertical="bottom"/>
    </xf>
    <xf borderId="0" fillId="19" fontId="17" numFmtId="49" xfId="0" applyAlignment="1" applyFont="1" applyNumberFormat="1">
      <alignment readingOrder="0" vertical="bottom"/>
    </xf>
    <xf borderId="0" fillId="19" fontId="17" numFmtId="49" xfId="0" applyAlignment="1" applyFont="1" applyNumberFormat="1">
      <alignment vertical="bottom"/>
    </xf>
    <xf borderId="0" fillId="6" fontId="17" numFmtId="49" xfId="0" applyAlignment="1" applyFont="1" applyNumberFormat="1">
      <alignment readingOrder="0" vertical="bottom"/>
    </xf>
    <xf borderId="0" fillId="21" fontId="17" numFmtId="49" xfId="0" applyAlignment="1" applyFont="1" applyNumberFormat="1">
      <alignment readingOrder="0" vertical="bottom"/>
    </xf>
    <xf borderId="0" fillId="21" fontId="17" numFmtId="0" xfId="0" applyAlignment="1" applyFont="1">
      <alignment horizontal="right" vertical="bottom"/>
    </xf>
    <xf borderId="0" fillId="0" fontId="27" numFmtId="0" xfId="0" applyAlignment="1" applyFont="1">
      <alignment readingOrder="0"/>
    </xf>
    <xf borderId="0" fillId="0" fontId="27" numFmtId="0" xfId="0" applyFont="1"/>
    <xf borderId="0" fillId="0" fontId="28" numFmtId="164" xfId="0" applyAlignment="1" applyFont="1" applyNumberFormat="1">
      <alignment horizontal="right" vertical="bottom"/>
    </xf>
    <xf borderId="0" fillId="0" fontId="28" numFmtId="0" xfId="0" applyAlignment="1" applyFont="1">
      <alignment vertical="bottom"/>
    </xf>
    <xf borderId="0" fillId="0" fontId="29" numFmtId="0" xfId="0" applyAlignment="1" applyFont="1">
      <alignment readingOrder="0"/>
    </xf>
    <xf borderId="0" fillId="0" fontId="23" numFmtId="0" xfId="0" applyFont="1"/>
    <xf borderId="0" fillId="0" fontId="30" numFmtId="164" xfId="0" applyAlignment="1" applyFont="1" applyNumberFormat="1">
      <alignment horizontal="right" vertical="bottom"/>
    </xf>
    <xf borderId="0" fillId="0" fontId="30" numFmtId="0" xfId="0" applyAlignment="1" applyFont="1">
      <alignment vertical="bottom"/>
    </xf>
    <xf borderId="0" fillId="0" fontId="31" numFmtId="0" xfId="0" applyAlignment="1" applyFont="1">
      <alignment readingOrder="0"/>
    </xf>
    <xf borderId="0" fillId="0" fontId="29" numFmtId="165" xfId="0" applyAlignment="1" applyFont="1" applyNumberFormat="1">
      <alignment readingOrder="0"/>
    </xf>
    <xf borderId="0" fillId="0" fontId="31" numFmtId="0" xfId="0" applyFont="1"/>
    <xf borderId="0" fillId="0" fontId="29" numFmtId="164" xfId="0" applyAlignment="1" applyFont="1" applyNumberFormat="1">
      <alignment readingOrder="0"/>
    </xf>
    <xf borderId="0" fillId="0" fontId="32" numFmtId="164" xfId="0" applyAlignment="1" applyFont="1" applyNumberFormat="1">
      <alignment horizontal="right" vertical="bottom"/>
    </xf>
    <xf borderId="0" fillId="0" fontId="32" numFmtId="0" xfId="0" applyAlignment="1" applyFont="1">
      <alignment vertical="bottom"/>
    </xf>
    <xf borderId="0" fillId="0" fontId="33" numFmtId="0" xfId="0" applyAlignment="1" applyFont="1">
      <alignment readingOrder="0"/>
    </xf>
    <xf borderId="0" fillId="0" fontId="28" numFmtId="165" xfId="0" applyAlignment="1" applyFont="1" applyNumberFormat="1">
      <alignment horizontal="right" vertical="bottom"/>
    </xf>
    <xf borderId="0" fillId="0" fontId="32" numFmtId="49" xfId="0" applyAlignment="1" applyFont="1" applyNumberFormat="1">
      <alignment horizontal="right" vertical="bottom"/>
    </xf>
    <xf borderId="0" fillId="0" fontId="34" numFmtId="164" xfId="0" applyAlignment="1" applyFont="1" applyNumberFormat="1">
      <alignment horizontal="right" vertical="bottom"/>
    </xf>
    <xf borderId="0" fillId="0" fontId="35" numFmtId="164" xfId="0" applyAlignment="1" applyFont="1" applyNumberFormat="1">
      <alignment horizontal="right" vertical="bottom"/>
    </xf>
    <xf borderId="0" fillId="0" fontId="35" numFmtId="0" xfId="0" applyAlignment="1" applyFont="1">
      <alignment vertical="bottom"/>
    </xf>
    <xf borderId="0" fillId="0" fontId="23" numFmtId="0" xfId="0" applyAlignment="1" applyFont="1">
      <alignment readingOrder="0"/>
    </xf>
    <xf borderId="0" fillId="0" fontId="36" numFmtId="164" xfId="0" applyAlignment="1" applyFont="1" applyNumberFormat="1">
      <alignment horizontal="right" vertical="bottom"/>
    </xf>
    <xf borderId="0" fillId="0" fontId="36" numFmtId="0" xfId="0" applyAlignment="1" applyFont="1">
      <alignment vertical="bottom"/>
    </xf>
    <xf borderId="0" fillId="0" fontId="37" numFmtId="0" xfId="0" applyAlignment="1" applyFont="1">
      <alignment readingOrder="0"/>
    </xf>
    <xf borderId="0" fillId="0" fontId="38" numFmtId="164" xfId="0" applyAlignment="1" applyFont="1" applyNumberFormat="1">
      <alignment horizontal="right" vertical="bottom"/>
    </xf>
    <xf borderId="0" fillId="0" fontId="28" numFmtId="0" xfId="0" applyAlignment="1" applyFont="1">
      <alignment readingOrder="0" vertical="bottom"/>
    </xf>
    <xf borderId="0" fillId="21" fontId="28" numFmtId="164" xfId="0" applyAlignment="1" applyFont="1" applyNumberFormat="1">
      <alignment horizontal="right" vertical="bottom"/>
    </xf>
    <xf borderId="0" fillId="21" fontId="28" numFmtId="0" xfId="0" applyAlignment="1" applyFont="1">
      <alignment vertical="bottom"/>
    </xf>
    <xf borderId="0" fillId="21" fontId="29" numFmtId="0" xfId="0" applyAlignment="1" applyFont="1">
      <alignment readingOrder="0"/>
    </xf>
    <xf borderId="0" fillId="21" fontId="27" numFmtId="0" xfId="0" applyFont="1"/>
    <xf borderId="0" fillId="21" fontId="28"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'trial countsmonkey'!$B$3</c:f>
            </c:strRef>
          </c:tx>
          <c:spPr>
            <a:ln cmpd="sng">
              <a:solidFill>
                <a:srgbClr val="4285F4"/>
              </a:solidFill>
              <a:prstDash val="solid"/>
            </a:ln>
          </c:spPr>
          <c:marker>
            <c:symbol val="circle"/>
            <c:size val="2"/>
            <c:spPr>
              <a:solidFill>
                <a:srgbClr val="4285F4"/>
              </a:solidFill>
              <a:ln cmpd="sng">
                <a:solidFill>
                  <a:srgbClr val="4285F4"/>
                </a:solidFill>
              </a:ln>
            </c:spPr>
          </c:marker>
          <c:cat>
            <c:strRef>
              <c:f>'trial countsmonkey'!$A$4:$A$95</c:f>
            </c:strRef>
          </c:cat>
          <c:val>
            <c:numRef>
              <c:f>'trial countsmonkey'!$B$4:$B$95</c:f>
              <c:numCache/>
            </c:numRef>
          </c:val>
          <c:smooth val="0"/>
        </c:ser>
        <c:axId val="861315455"/>
        <c:axId val="1399601555"/>
      </c:lineChart>
      <c:catAx>
        <c:axId val="861315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399601555"/>
      </c:catAx>
      <c:valAx>
        <c:axId val="1399601555"/>
        <c:scaling>
          <c:orientation val="minMax"/>
          <c:min val="2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trials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6131545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'trial countsmonkey'!$B$3</c:f>
            </c:strRef>
          </c:tx>
          <c:spPr>
            <a:ln cmpd="sng">
              <a:solidFill>
                <a:srgbClr val="4285F4"/>
              </a:solidFill>
            </a:ln>
          </c:spPr>
          <c:marker>
            <c:symbol val="circle"/>
            <c:size val="2"/>
            <c:spPr>
              <a:solidFill>
                <a:srgbClr val="4285F4"/>
              </a:solidFill>
              <a:ln cmpd="sng">
                <a:solidFill>
                  <a:srgbClr val="4285F4"/>
                </a:solidFill>
              </a:ln>
            </c:spPr>
          </c:marker>
          <c:cat>
            <c:strRef>
              <c:f>'trial countsmonkey'!$A$4:$A$95</c:f>
            </c:strRef>
          </c:cat>
          <c:val>
            <c:numRef>
              <c:f>'trial countsmonkey'!$B$4:$B$95</c:f>
              <c:numCache/>
            </c:numRef>
          </c:val>
          <c:smooth val="0"/>
        </c:ser>
        <c:axId val="104515103"/>
        <c:axId val="1654669278"/>
      </c:lineChart>
      <c:catAx>
        <c:axId val="104515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1800000"/>
          <a:lstStyle/>
          <a:p>
            <a:pPr lvl="0">
              <a:defRPr b="0">
                <a:solidFill>
                  <a:srgbClr val="000000"/>
                </a:solidFill>
                <a:latin typeface="+mn-lt"/>
              </a:defRPr>
            </a:pPr>
          </a:p>
        </c:txPr>
        <c:crossAx val="1654669278"/>
      </c:catAx>
      <c:valAx>
        <c:axId val="1654669278"/>
        <c:scaling>
          <c:orientation val="minMax"/>
          <c:max val="4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trials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51510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v>West</c:v>
          </c:tx>
          <c:spPr>
            <a:ln>
              <a:noFill/>
            </a:ln>
          </c:spPr>
          <c:marker>
            <c:symbol val="circle"/>
            <c:size val="5"/>
            <c:spPr>
              <a:solidFill>
                <a:schemeClr val="accent1"/>
              </a:solidFill>
              <a:ln cmpd="sng">
                <a:solidFill>
                  <a:schemeClr val="accent1"/>
                </a:solidFill>
              </a:ln>
            </c:spPr>
          </c:marker>
          <c:xVal>
            <c:numRef>
              <c:f>'trial countsmonkey'!$A$4:$A$536</c:f>
            </c:numRef>
          </c:xVal>
          <c:yVal>
            <c:numRef>
              <c:f>'trial countsmonkey'!$B$4:$B$536</c:f>
              <c:numCache/>
            </c:numRef>
          </c:yVal>
        </c:ser>
        <c:ser>
          <c:idx val="1"/>
          <c:order val="1"/>
          <c:tx>
            <c:v>AJ</c:v>
          </c:tx>
          <c:spPr>
            <a:ln>
              <a:noFill/>
            </a:ln>
          </c:spPr>
          <c:marker>
            <c:symbol val="circle"/>
            <c:size val="5"/>
            <c:spPr>
              <a:solidFill>
                <a:schemeClr val="accent2"/>
              </a:solidFill>
              <a:ln cmpd="sng">
                <a:solidFill>
                  <a:schemeClr val="accent2"/>
                </a:solidFill>
              </a:ln>
            </c:spPr>
          </c:marker>
          <c:xVal>
            <c:numRef>
              <c:f>'trial countsmonkey'!$A$4:$A$536</c:f>
            </c:numRef>
          </c:xVal>
          <c:yVal>
            <c:numRef>
              <c:f>'trial countsmonkey'!$C$4:$C$536</c:f>
              <c:numCache/>
            </c:numRef>
          </c:yVal>
        </c:ser>
        <c:ser>
          <c:idx val="2"/>
          <c:order val="2"/>
          <c:tx>
            <c:v>Bourgeois</c:v>
          </c:tx>
          <c:spPr>
            <a:ln>
              <a:noFill/>
            </a:ln>
          </c:spPr>
          <c:marker>
            <c:symbol val="circle"/>
            <c:size val="5"/>
            <c:spPr>
              <a:solidFill>
                <a:schemeClr val="accent3"/>
              </a:solidFill>
              <a:ln cmpd="sng">
                <a:solidFill>
                  <a:schemeClr val="accent3"/>
                </a:solidFill>
              </a:ln>
            </c:spPr>
          </c:marker>
          <c:xVal>
            <c:numRef>
              <c:f>'trial countsmonkey'!$A$4:$A$536</c:f>
            </c:numRef>
          </c:xVal>
          <c:yVal>
            <c:numRef>
              <c:f>'trial countsmonkey'!$D$4:$D$536</c:f>
              <c:numCache/>
            </c:numRef>
          </c:yVal>
        </c:ser>
        <c:dLbls>
          <c:showLegendKey val="0"/>
          <c:showVal val="0"/>
          <c:showCatName val="0"/>
          <c:showSerName val="0"/>
          <c:showPercent val="0"/>
          <c:showBubbleSize val="0"/>
        </c:dLbls>
        <c:axId val="1471266705"/>
        <c:axId val="657351872"/>
      </c:scatterChart>
      <c:valAx>
        <c:axId val="14712667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1800000"/>
          <a:lstStyle/>
          <a:p>
            <a:pPr lvl="0">
              <a:defRPr b="0">
                <a:solidFill>
                  <a:srgbClr val="000000"/>
                </a:solidFill>
                <a:latin typeface="+mn-lt"/>
              </a:defRPr>
            </a:pPr>
          </a:p>
        </c:txPr>
        <c:crossAx val="657351872"/>
      </c:valAx>
      <c:valAx>
        <c:axId val="657351872"/>
        <c:scaling>
          <c:orientation val="minMax"/>
          <c:max val="400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trials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126670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'pre- and post-craniotomy perfor'!$L$10:$L$11</c:f>
            </c:strRef>
          </c:tx>
          <c:spPr>
            <a:ln>
              <a:noFill/>
            </a:ln>
          </c:spPr>
          <c:marker>
            <c:symbol val="circle"/>
            <c:size val="7"/>
            <c:spPr>
              <a:solidFill>
                <a:schemeClr val="accent1"/>
              </a:solidFill>
              <a:ln cmpd="sng">
                <a:solidFill>
                  <a:schemeClr val="accent1"/>
                </a:solidFill>
              </a:ln>
            </c:spPr>
          </c:marker>
          <c:dPt>
            <c:idx val="1"/>
            <c:marker>
              <c:symbol val="none"/>
            </c:marker>
          </c:dPt>
          <c:xVal>
            <c:numRef>
              <c:f>'pre- and post-craniotomy perfor'!$K$12:$K$126</c:f>
            </c:numRef>
          </c:xVal>
          <c:yVal>
            <c:numRef>
              <c:f>'pre- and post-craniotomy perfor'!$L$12:$L$126</c:f>
              <c:numCache/>
            </c:numRef>
          </c:yVal>
        </c:ser>
        <c:ser>
          <c:idx val="1"/>
          <c:order val="1"/>
          <c:tx>
            <c:v>Bourgeois</c:v>
          </c:tx>
          <c:spPr>
            <a:ln>
              <a:noFill/>
            </a:ln>
          </c:spPr>
          <c:marker>
            <c:symbol val="circle"/>
            <c:size val="7"/>
            <c:spPr>
              <a:solidFill>
                <a:schemeClr val="accent2"/>
              </a:solidFill>
              <a:ln cmpd="sng">
                <a:solidFill>
                  <a:schemeClr val="accent2"/>
                </a:solidFill>
              </a:ln>
            </c:spPr>
          </c:marker>
          <c:xVal>
            <c:numRef>
              <c:f>'pre- and post-craniotomy perfor'!$K$12:$K$126</c:f>
            </c:numRef>
          </c:xVal>
          <c:yVal>
            <c:numRef>
              <c:f>'pre- and post-craniotomy perfor'!$M$12:$M$126</c:f>
              <c:numCache/>
            </c:numRef>
          </c:yVal>
        </c:ser>
        <c:dLbls>
          <c:showLegendKey val="0"/>
          <c:showVal val="0"/>
          <c:showCatName val="0"/>
          <c:showSerName val="0"/>
          <c:showPercent val="0"/>
          <c:showBubbleSize val="0"/>
        </c:dLbls>
        <c:axId val="1324608100"/>
        <c:axId val="883474976"/>
      </c:scatterChart>
      <c:valAx>
        <c:axId val="1324608100"/>
        <c:scaling>
          <c:orientation val="minMax"/>
          <c:min val="-28.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days pre/post craniotomy</a:t>
                </a:r>
              </a:p>
            </c:rich>
          </c:tx>
          <c:overlay val="0"/>
        </c:title>
        <c:numFmt formatCode="General" sourceLinked="1"/>
        <c:majorTickMark val="none"/>
        <c:minorTickMark val="none"/>
        <c:tickLblPos val="nextTo"/>
        <c:spPr>
          <a:ln/>
        </c:spPr>
        <c:txPr>
          <a:bodyPr rot="0"/>
          <a:lstStyle/>
          <a:p>
            <a:pPr lvl="0">
              <a:defRPr b="0">
                <a:solidFill>
                  <a:srgbClr val="000000"/>
                </a:solidFill>
                <a:latin typeface="+mn-lt"/>
              </a:defRPr>
            </a:pPr>
          </a:p>
        </c:txPr>
        <c:crossAx val="883474976"/>
        <c:majorUnit val="7.0"/>
        <c:minorUnit val="7.0"/>
      </c:valAx>
      <c:valAx>
        <c:axId val="883474976"/>
        <c:scaling>
          <c:orientation val="minMax"/>
          <c:max val="4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trials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460810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'pre- and post-craniotomy perfor'!$P$9</c:f>
            </c:strRef>
          </c:tx>
          <c:spPr>
            <a:solidFill>
              <a:srgbClr val="FF9900"/>
            </a:solidFill>
            <a:ln cmpd="sng">
              <a:solidFill>
                <a:srgbClr val="000000"/>
              </a:solidFill>
            </a:ln>
          </c:spPr>
          <c:dPt>
            <c:idx val="0"/>
            <c:spPr>
              <a:solidFill>
                <a:srgbClr val="FF9900"/>
              </a:solidFill>
              <a:ln cmpd="sng">
                <a:solidFill>
                  <a:srgbClr val="000000"/>
                </a:solidFill>
              </a:ln>
            </c:spPr>
          </c:dPt>
          <c:cat>
            <c:strRef>
              <c:f>'pre- and post-craniotomy perfor'!$O$10:$O$11</c:f>
            </c:strRef>
          </c:cat>
          <c:val>
            <c:numRef>
              <c:f>'pre- and post-craniotomy perfor'!$P$10:$P$11</c:f>
              <c:numCache/>
            </c:numRef>
          </c:val>
        </c:ser>
        <c:ser>
          <c:idx val="1"/>
          <c:order val="1"/>
          <c:tx>
            <c:strRef>
              <c:f>'pre- and post-craniotomy perfor'!$Q$9</c:f>
            </c:strRef>
          </c:tx>
          <c:spPr>
            <a:solidFill>
              <a:srgbClr val="6AA84F"/>
            </a:solidFill>
            <a:ln cmpd="sng">
              <a:solidFill>
                <a:srgbClr val="000000"/>
              </a:solidFill>
            </a:ln>
          </c:spPr>
          <c:cat>
            <c:strRef>
              <c:f>'pre- and post-craniotomy perfor'!$O$10:$O$11</c:f>
            </c:strRef>
          </c:cat>
          <c:val>
            <c:numRef>
              <c:f>'pre- and post-craniotomy perfor'!$Q$10:$Q$11</c:f>
              <c:numCache/>
            </c:numRef>
          </c:val>
        </c:ser>
        <c:axId val="673245039"/>
        <c:axId val="2066665334"/>
      </c:barChart>
      <c:catAx>
        <c:axId val="6732450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6665334"/>
      </c:catAx>
      <c:valAx>
        <c:axId val="20666653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trials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324503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'first spike depth (AP)'!$C$438</c:f>
            </c:strRef>
          </c:tx>
          <c:spPr>
            <a:ln>
              <a:noFill/>
            </a:ln>
          </c:spPr>
          <c:marker>
            <c:symbol val="circle"/>
            <c:size val="7"/>
            <c:spPr>
              <a:solidFill>
                <a:schemeClr val="accent1"/>
              </a:solidFill>
              <a:ln cmpd="sng">
                <a:solidFill>
                  <a:schemeClr val="accent1"/>
                </a:solidFill>
              </a:ln>
            </c:spPr>
          </c:marker>
          <c:xVal>
            <c:numRef>
              <c:f>'first spike depth (AP)'!$B$439:$B$516</c:f>
            </c:numRef>
          </c:xVal>
          <c:yVal>
            <c:numRef>
              <c:f>'first spike depth (AP)'!$C$439:$C$516</c:f>
              <c:numCache/>
            </c:numRef>
          </c:yVal>
        </c:ser>
        <c:ser>
          <c:idx val="1"/>
          <c:order val="1"/>
          <c:tx>
            <c:strRef>
              <c:f>'first spike depth (AP)'!$D$438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(AP)'!$D$439:$D$516</c:f>
              <c:numCache/>
            </c:numRef>
          </c:yVal>
        </c:ser>
        <c:ser>
          <c:idx val="2"/>
          <c:order val="2"/>
          <c:tx>
            <c:strRef>
              <c:f>'first spike depth (AP)'!$E$438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(AP)'!$E$439:$E$516</c:f>
              <c:numCache/>
            </c:numRef>
          </c:yVal>
        </c:ser>
        <c:ser>
          <c:idx val="3"/>
          <c:order val="3"/>
          <c:tx>
            <c:strRef>
              <c:f>'first spike depth (AP)'!$F$438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(AP)'!$F$439:$F$516</c:f>
              <c:numCache/>
            </c:numRef>
          </c:yVal>
        </c:ser>
        <c:ser>
          <c:idx val="4"/>
          <c:order val="4"/>
          <c:tx>
            <c:strRef>
              <c:f>'first spike depth (AP)'!$G$438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(AP)'!$G$439:$G$516</c:f>
              <c:numCache/>
            </c:numRef>
          </c:yVal>
        </c:ser>
        <c:ser>
          <c:idx val="5"/>
          <c:order val="5"/>
          <c:tx>
            <c:strRef>
              <c:f>'first spike depth (AP)'!$H$438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(AP)'!$H$439:$H$516</c:f>
              <c:numCache/>
            </c:numRef>
          </c:yVal>
        </c:ser>
        <c:ser>
          <c:idx val="6"/>
          <c:order val="6"/>
          <c:tx>
            <c:strRef>
              <c:f>'first spike depth (AP)'!$I$438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(AP)'!$I$439:$I$516</c:f>
              <c:numCache/>
            </c:numRef>
          </c:yVal>
        </c:ser>
        <c:ser>
          <c:idx val="7"/>
          <c:order val="7"/>
          <c:tx>
            <c:strRef>
              <c:f>'first spike depth (AP)'!$J$438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(AP)'!$J$439:$J$516</c:f>
              <c:numCache/>
            </c:numRef>
          </c:yVal>
        </c:ser>
        <c:ser>
          <c:idx val="8"/>
          <c:order val="8"/>
          <c:tx>
            <c:strRef>
              <c:f>'first spike depth (AP)'!$K$438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(AP)'!$K$439:$K$516</c:f>
              <c:numCache/>
            </c:numRef>
          </c:yVal>
        </c:ser>
        <c:ser>
          <c:idx val="9"/>
          <c:order val="9"/>
          <c:tx>
            <c:strRef>
              <c:f>'first spike depth (AP)'!$L$438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(AP)'!$L$439:$L$516</c:f>
              <c:numCache/>
            </c:numRef>
          </c:yVal>
        </c:ser>
        <c:ser>
          <c:idx val="10"/>
          <c:order val="10"/>
          <c:tx>
            <c:strRef>
              <c:f>'first spike depth (AP)'!$M$438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(AP)'!$M$439:$M$516</c:f>
              <c:numCache/>
            </c:numRef>
          </c:yVal>
        </c:ser>
        <c:ser>
          <c:idx val="11"/>
          <c:order val="11"/>
          <c:tx>
            <c:strRef>
              <c:f>'first spike depth (AP)'!$N$438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(AP)'!$N$439:$N$516</c:f>
              <c:numCache/>
            </c:numRef>
          </c:yVal>
        </c:ser>
        <c:ser>
          <c:idx val="12"/>
          <c:order val="12"/>
          <c:tx>
            <c:strRef>
              <c:f>'first spike depth (AP)'!$O$438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(AP)'!$O$439:$O$516</c:f>
              <c:numCache/>
            </c:numRef>
          </c:yVal>
        </c:ser>
        <c:ser>
          <c:idx val="13"/>
          <c:order val="13"/>
          <c:tx>
            <c:strRef>
              <c:f>'first spike depth (AP)'!$P$438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(AP)'!$P$439:$P$516</c:f>
              <c:numCache/>
            </c:numRef>
          </c:yVal>
        </c:ser>
        <c:ser>
          <c:idx val="14"/>
          <c:order val="14"/>
          <c:tx>
            <c:strRef>
              <c:f>'first spike depth (AP)'!$Q$438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(AP)'!$Q$439:$Q$516</c:f>
              <c:numCache/>
            </c:numRef>
          </c:yVal>
        </c:ser>
        <c:ser>
          <c:idx val="15"/>
          <c:order val="15"/>
          <c:tx>
            <c:strRef>
              <c:f>'first spike depth (AP)'!$R$438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(AP)'!$R$439:$R$516</c:f>
              <c:numCache/>
            </c:numRef>
          </c:yVal>
        </c:ser>
        <c:ser>
          <c:idx val="16"/>
          <c:order val="16"/>
          <c:tx>
            <c:strRef>
              <c:f>'first spike depth (AP)'!$S$438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(AP)'!$S$439:$S$516</c:f>
              <c:numCache/>
            </c:numRef>
          </c:yVal>
        </c:ser>
        <c:ser>
          <c:idx val="17"/>
          <c:order val="17"/>
          <c:tx>
            <c:strRef>
              <c:f>'first spike depth (AP)'!$T$438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(AP)'!$T$439:$T$516</c:f>
              <c:numCache/>
            </c:numRef>
          </c:yVal>
        </c:ser>
        <c:ser>
          <c:idx val="18"/>
          <c:order val="18"/>
          <c:tx>
            <c:strRef>
              <c:f>'first spike depth (AP)'!$U$438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(AP)'!$U$439:$U$516</c:f>
              <c:numCache/>
            </c:numRef>
          </c:yVal>
        </c:ser>
        <c:ser>
          <c:idx val="19"/>
          <c:order val="19"/>
          <c:tx>
            <c:strRef>
              <c:f>'first spike depth (AP)'!$V$438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(AP)'!$V$439:$V$516</c:f>
              <c:numCache/>
            </c:numRef>
          </c:yVal>
        </c:ser>
        <c:ser>
          <c:idx val="20"/>
          <c:order val="20"/>
          <c:tx>
            <c:strRef>
              <c:f>'first spike depth (AP)'!$W$438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(AP)'!$W$439:$W$516</c:f>
              <c:numCache/>
            </c:numRef>
          </c:yVal>
        </c:ser>
        <c:ser>
          <c:idx val="21"/>
          <c:order val="21"/>
          <c:tx>
            <c:strRef>
              <c:f>'first spike depth (AP)'!$X$438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(AP)'!$X$439:$X$516</c:f>
              <c:numCache/>
            </c:numRef>
          </c:yVal>
        </c:ser>
        <c:ser>
          <c:idx val="22"/>
          <c:order val="22"/>
          <c:tx>
            <c:strRef>
              <c:f>'first spike depth (AP)'!$Y$438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(AP)'!$Y$439:$Y$516</c:f>
              <c:numCache/>
            </c:numRef>
          </c:yVal>
        </c:ser>
        <c:ser>
          <c:idx val="23"/>
          <c:order val="23"/>
          <c:tx>
            <c:strRef>
              <c:f>'first spike depth (AP)'!$Z$438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(AP)'!$Z$439:$Z$516</c:f>
              <c:numCache/>
            </c:numRef>
          </c:yVal>
        </c:ser>
        <c:ser>
          <c:idx val="24"/>
          <c:order val="24"/>
          <c:tx>
            <c:strRef>
              <c:f>'first spike depth (AP)'!$AA$438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(AP)'!$AA$439:$AA$516</c:f>
              <c:numCache/>
            </c:numRef>
          </c:yVal>
        </c:ser>
        <c:ser>
          <c:idx val="25"/>
          <c:order val="25"/>
          <c:tx>
            <c:strRef>
              <c:f>'first spike depth (AP)'!$AB$438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(AP)'!$AB$439:$AB$516</c:f>
              <c:numCache/>
            </c:numRef>
          </c:yVal>
        </c:ser>
        <c:ser>
          <c:idx val="26"/>
          <c:order val="26"/>
          <c:tx>
            <c:strRef>
              <c:f>'first spike depth (AP)'!$AC$438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(AP)'!$AC$439:$AC$516</c:f>
              <c:numCache/>
            </c:numRef>
          </c:yVal>
        </c:ser>
        <c:ser>
          <c:idx val="27"/>
          <c:order val="27"/>
          <c:tx>
            <c:strRef>
              <c:f>'first spike depth (AP)'!$AD$438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(AP)'!$AD$439:$AD$516</c:f>
              <c:numCache/>
            </c:numRef>
          </c:yVal>
        </c:ser>
        <c:ser>
          <c:idx val="28"/>
          <c:order val="28"/>
          <c:tx>
            <c:strRef>
              <c:f>'first spike depth (AP)'!$AE$438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(AP)'!$AE$439:$AE$516</c:f>
              <c:numCache/>
            </c:numRef>
          </c:yVal>
        </c:ser>
        <c:ser>
          <c:idx val="29"/>
          <c:order val="29"/>
          <c:tx>
            <c:strRef>
              <c:f>'first spike depth (AP)'!$AF$438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(AP)'!$AF$439:$AF$516</c:f>
              <c:numCache/>
            </c:numRef>
          </c:yVal>
        </c:ser>
        <c:ser>
          <c:idx val="30"/>
          <c:order val="30"/>
          <c:tx>
            <c:strRef>
              <c:f>'first spike depth (AP)'!$AG$438</c:f>
            </c:strRef>
          </c:tx>
          <c:spPr>
            <a:ln>
              <a:noFill/>
            </a:ln>
          </c:spPr>
          <c:marker>
            <c:symbol val="circle"/>
            <c:size val="7"/>
            <c:spPr>
              <a:solidFill>
                <a:srgbClr val="4A86E8"/>
              </a:solidFill>
              <a:ln cmpd="sng">
                <a:solidFill>
                  <a:srgbClr val="4A86E8"/>
                </a:solidFill>
              </a:ln>
            </c:spPr>
          </c:marker>
          <c:xVal>
            <c:numRef>
              <c:f>'first spike depth (AP)'!$B$439:$B$516</c:f>
            </c:numRef>
          </c:xVal>
          <c:yVal>
            <c:numRef>
              <c:f>'first spike depth (AP)'!$AG$439:$AG$516</c:f>
              <c:numCache/>
            </c:numRef>
          </c:yVal>
        </c:ser>
        <c:dLbls>
          <c:showLegendKey val="0"/>
          <c:showVal val="0"/>
          <c:showCatName val="0"/>
          <c:showSerName val="0"/>
          <c:showPercent val="0"/>
          <c:showBubbleSize val="0"/>
        </c:dLbls>
        <c:axId val="192826515"/>
        <c:axId val="1429110493"/>
      </c:scatterChart>
      <c:valAx>
        <c:axId val="1928265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9110493"/>
      </c:valAx>
      <c:valAx>
        <c:axId val="14291104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first spike depth (µm)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826515"/>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'first spike depth (AP)'!$A$438</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'first spike depth (AP)'!$B$439:$B$513</c:f>
            </c:numRef>
          </c:xVal>
          <c:yVal>
            <c:numRef>
              <c:f>'first spike depth (AP)'!$A$439:$A$513</c:f>
              <c:numCache/>
            </c:numRef>
          </c:yVal>
        </c:ser>
        <c:dLbls>
          <c:showLegendKey val="0"/>
          <c:showVal val="0"/>
          <c:showCatName val="0"/>
          <c:showSerName val="0"/>
          <c:showPercent val="0"/>
          <c:showBubbleSize val="0"/>
        </c:dLbls>
        <c:axId val="1488972242"/>
        <c:axId val="1688469303"/>
      </c:scatterChart>
      <c:valAx>
        <c:axId val="14889722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8469303"/>
      </c:valAx>
      <c:valAx>
        <c:axId val="16884693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depth of first spike (µm)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897224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590550</xdr:colOff>
      <xdr:row>46</xdr:row>
      <xdr:rowOff>114300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457200</xdr:colOff>
      <xdr:row>79</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590550</xdr:colOff>
      <xdr:row>12</xdr:row>
      <xdr:rowOff>123825</xdr:rowOff>
    </xdr:from>
    <xdr:ext cx="6353175" cy="39338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666750</xdr:colOff>
      <xdr:row>83</xdr:row>
      <xdr:rowOff>76200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657225</xdr:colOff>
      <xdr:row>2</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952500</xdr:colOff>
      <xdr:row>437</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542925</xdr:colOff>
      <xdr:row>515</xdr:row>
      <xdr:rowOff>47625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6.63"/>
    <col customWidth="1" min="6" max="6" width="17.75"/>
    <col customWidth="1" min="20" max="20" width="32.88"/>
  </cols>
  <sheetData>
    <row r="1">
      <c r="A1" s="1" t="s">
        <v>0</v>
      </c>
      <c r="B1" s="2" t="s">
        <v>1</v>
      </c>
      <c r="C1" s="2" t="s">
        <v>2</v>
      </c>
      <c r="D1" s="2" t="s">
        <v>3</v>
      </c>
      <c r="E1" s="2" t="s">
        <v>4</v>
      </c>
      <c r="F1" s="1" t="s">
        <v>5</v>
      </c>
      <c r="G1" s="1" t="s">
        <v>6</v>
      </c>
      <c r="H1" s="1" t="s">
        <v>7</v>
      </c>
      <c r="I1" s="2" t="s">
        <v>8</v>
      </c>
      <c r="J1" s="2" t="s">
        <v>9</v>
      </c>
      <c r="K1" s="2"/>
      <c r="L1" s="2" t="s">
        <v>10</v>
      </c>
      <c r="U1" s="2" t="s">
        <v>11</v>
      </c>
    </row>
    <row r="2">
      <c r="A2" s="3" t="s">
        <v>12</v>
      </c>
      <c r="B2" s="4" t="s">
        <v>13</v>
      </c>
      <c r="C2" s="4" t="s">
        <v>14</v>
      </c>
      <c r="D2" s="4" t="s">
        <v>15</v>
      </c>
      <c r="E2" s="4" t="s">
        <v>16</v>
      </c>
      <c r="F2" s="4">
        <v>6000.0</v>
      </c>
      <c r="G2" s="3" t="s">
        <v>17</v>
      </c>
      <c r="H2" s="3" t="s">
        <v>18</v>
      </c>
      <c r="I2" s="4" t="s">
        <v>19</v>
      </c>
      <c r="J2" s="4" t="s">
        <v>20</v>
      </c>
      <c r="L2" s="4" t="s">
        <v>21</v>
      </c>
      <c r="U2" s="4">
        <v>8.0</v>
      </c>
    </row>
    <row r="3">
      <c r="A3" s="3" t="s">
        <v>22</v>
      </c>
      <c r="B3" s="4" t="s">
        <v>13</v>
      </c>
      <c r="C3" s="4" t="s">
        <v>23</v>
      </c>
      <c r="D3" s="4" t="s">
        <v>24</v>
      </c>
      <c r="E3" s="4" t="s">
        <v>25</v>
      </c>
      <c r="F3" s="4">
        <v>6400.0</v>
      </c>
      <c r="G3" s="3" t="s">
        <v>17</v>
      </c>
      <c r="H3" s="3" t="s">
        <v>18</v>
      </c>
      <c r="I3" s="4" t="s">
        <v>19</v>
      </c>
      <c r="J3" s="4" t="s">
        <v>20</v>
      </c>
      <c r="L3" s="4" t="s">
        <v>26</v>
      </c>
      <c r="U3" s="4">
        <v>8.0</v>
      </c>
    </row>
    <row r="4">
      <c r="A4" s="3" t="s">
        <v>27</v>
      </c>
      <c r="B4" s="4" t="s">
        <v>13</v>
      </c>
      <c r="C4" s="4" t="s">
        <v>28</v>
      </c>
      <c r="D4" s="4" t="s">
        <v>29</v>
      </c>
      <c r="E4" s="4" t="s">
        <v>30</v>
      </c>
      <c r="F4" s="4">
        <v>6500.0</v>
      </c>
      <c r="G4" s="3" t="s">
        <v>17</v>
      </c>
      <c r="H4" s="3" t="s">
        <v>18</v>
      </c>
      <c r="I4" s="4" t="s">
        <v>19</v>
      </c>
      <c r="J4" s="4" t="s">
        <v>20</v>
      </c>
      <c r="L4" s="4" t="s">
        <v>31</v>
      </c>
      <c r="U4" s="4">
        <v>8.0</v>
      </c>
    </row>
    <row r="5">
      <c r="A5" s="3" t="s">
        <v>32</v>
      </c>
      <c r="B5" s="4" t="s">
        <v>13</v>
      </c>
      <c r="C5" s="4" t="s">
        <v>33</v>
      </c>
      <c r="D5" s="4" t="s">
        <v>34</v>
      </c>
      <c r="E5" s="4" t="s">
        <v>35</v>
      </c>
      <c r="F5" s="5">
        <v>4500.0</v>
      </c>
      <c r="G5" s="3" t="s">
        <v>36</v>
      </c>
      <c r="H5" s="3" t="s">
        <v>18</v>
      </c>
      <c r="I5" s="4" t="s">
        <v>37</v>
      </c>
      <c r="L5" s="4" t="s">
        <v>38</v>
      </c>
      <c r="U5" s="4">
        <v>8.0</v>
      </c>
      <c r="V5" s="4" t="s">
        <v>39</v>
      </c>
    </row>
    <row r="6">
      <c r="A6" s="3" t="s">
        <v>40</v>
      </c>
      <c r="B6" s="4" t="s">
        <v>13</v>
      </c>
      <c r="C6" s="4" t="s">
        <v>41</v>
      </c>
      <c r="D6" s="4" t="s">
        <v>42</v>
      </c>
      <c r="E6" s="4" t="s">
        <v>43</v>
      </c>
      <c r="F6" s="6">
        <v>4500.0</v>
      </c>
      <c r="G6" s="3" t="s">
        <v>36</v>
      </c>
      <c r="H6" s="3" t="s">
        <v>18</v>
      </c>
      <c r="I6" s="4" t="s">
        <v>19</v>
      </c>
      <c r="L6" s="4" t="s">
        <v>44</v>
      </c>
      <c r="U6" s="4">
        <v>9.0</v>
      </c>
    </row>
    <row r="7">
      <c r="A7" s="3" t="s">
        <v>45</v>
      </c>
      <c r="B7" s="4" t="s">
        <v>13</v>
      </c>
      <c r="C7" s="4" t="s">
        <v>46</v>
      </c>
      <c r="D7" s="4" t="s">
        <v>47</v>
      </c>
      <c r="E7" s="4" t="s">
        <v>48</v>
      </c>
      <c r="F7" s="4">
        <v>4950.0</v>
      </c>
      <c r="G7" s="3" t="s">
        <v>36</v>
      </c>
      <c r="H7" s="3" t="s">
        <v>18</v>
      </c>
      <c r="I7" s="4" t="s">
        <v>19</v>
      </c>
      <c r="L7" s="4" t="s">
        <v>49</v>
      </c>
      <c r="U7" s="4">
        <v>9.0</v>
      </c>
    </row>
    <row r="8">
      <c r="A8" s="3" t="s">
        <v>50</v>
      </c>
      <c r="B8" s="4" t="s">
        <v>13</v>
      </c>
      <c r="C8" s="4" t="s">
        <v>51</v>
      </c>
      <c r="D8" s="4" t="s">
        <v>52</v>
      </c>
      <c r="E8" s="4" t="s">
        <v>53</v>
      </c>
      <c r="F8" s="4">
        <v>4000.0</v>
      </c>
      <c r="G8" s="3" t="s">
        <v>54</v>
      </c>
      <c r="H8" s="3" t="s">
        <v>18</v>
      </c>
      <c r="I8" s="4" t="s">
        <v>19</v>
      </c>
      <c r="L8" s="4" t="s">
        <v>55</v>
      </c>
      <c r="U8" s="4">
        <v>9.0</v>
      </c>
      <c r="W8" s="4" t="s">
        <v>56</v>
      </c>
    </row>
    <row r="9">
      <c r="A9" s="3" t="s">
        <v>57</v>
      </c>
      <c r="B9" s="4" t="s">
        <v>13</v>
      </c>
      <c r="C9" s="4" t="s">
        <v>58</v>
      </c>
      <c r="D9" s="4" t="s">
        <v>52</v>
      </c>
      <c r="E9" s="4" t="s">
        <v>53</v>
      </c>
      <c r="F9" s="4">
        <v>4000.0</v>
      </c>
      <c r="G9" s="3" t="s">
        <v>59</v>
      </c>
      <c r="H9" s="3" t="s">
        <v>18</v>
      </c>
      <c r="I9" s="4" t="s">
        <v>60</v>
      </c>
      <c r="L9" s="4" t="s">
        <v>61</v>
      </c>
      <c r="U9" s="4">
        <v>9.0</v>
      </c>
    </row>
    <row r="10">
      <c r="A10" s="3" t="s">
        <v>62</v>
      </c>
      <c r="B10" s="4" t="s">
        <v>13</v>
      </c>
      <c r="C10" s="4" t="s">
        <v>63</v>
      </c>
      <c r="D10" s="4" t="s">
        <v>52</v>
      </c>
      <c r="E10" s="4" t="s">
        <v>53</v>
      </c>
      <c r="F10" s="4">
        <v>4000.0</v>
      </c>
      <c r="G10" s="3" t="s">
        <v>59</v>
      </c>
      <c r="H10" s="3" t="s">
        <v>18</v>
      </c>
      <c r="I10" s="4" t="s">
        <v>60</v>
      </c>
      <c r="L10" s="4" t="s">
        <v>64</v>
      </c>
      <c r="U10" s="4">
        <v>9.0</v>
      </c>
    </row>
    <row r="11">
      <c r="A11" s="3" t="s">
        <v>65</v>
      </c>
      <c r="B11" s="4" t="s">
        <v>13</v>
      </c>
      <c r="C11" s="4" t="s">
        <v>66</v>
      </c>
      <c r="D11" s="4" t="s">
        <v>52</v>
      </c>
      <c r="E11" s="4" t="s">
        <v>53</v>
      </c>
      <c r="F11" s="4">
        <v>4000.0</v>
      </c>
      <c r="G11" s="3" t="s">
        <v>59</v>
      </c>
      <c r="H11" s="3" t="s">
        <v>18</v>
      </c>
      <c r="I11" s="4" t="s">
        <v>67</v>
      </c>
      <c r="L11" s="4" t="s">
        <v>68</v>
      </c>
      <c r="U11" s="4">
        <v>9.0</v>
      </c>
    </row>
    <row r="12">
      <c r="A12" s="3" t="s">
        <v>69</v>
      </c>
      <c r="B12" s="4" t="s">
        <v>13</v>
      </c>
      <c r="C12" s="4" t="s">
        <v>70</v>
      </c>
      <c r="D12" s="4" t="s">
        <v>52</v>
      </c>
      <c r="E12" s="4" t="s">
        <v>53</v>
      </c>
      <c r="F12" s="4">
        <v>3900.0</v>
      </c>
      <c r="G12" s="3" t="s">
        <v>59</v>
      </c>
      <c r="H12" s="3" t="s">
        <v>18</v>
      </c>
      <c r="I12" s="4" t="s">
        <v>67</v>
      </c>
      <c r="L12" s="7" t="s">
        <v>71</v>
      </c>
      <c r="U12" s="4">
        <v>9.0</v>
      </c>
    </row>
    <row r="13">
      <c r="A13" s="3" t="s">
        <v>72</v>
      </c>
      <c r="B13" s="4" t="s">
        <v>13</v>
      </c>
      <c r="C13" s="4" t="s">
        <v>73</v>
      </c>
      <c r="D13" s="4" t="s">
        <v>52</v>
      </c>
      <c r="E13" s="4" t="s">
        <v>53</v>
      </c>
      <c r="F13" s="8">
        <v>4400.0</v>
      </c>
      <c r="G13" s="3" t="s">
        <v>74</v>
      </c>
      <c r="H13" s="3" t="s">
        <v>18</v>
      </c>
      <c r="I13" s="4" t="s">
        <v>37</v>
      </c>
      <c r="L13" s="4" t="s">
        <v>75</v>
      </c>
      <c r="U13" s="4">
        <v>9.0</v>
      </c>
    </row>
    <row r="14">
      <c r="A14" s="3" t="s">
        <v>76</v>
      </c>
      <c r="B14" s="4" t="s">
        <v>13</v>
      </c>
      <c r="C14" s="4" t="s">
        <v>77</v>
      </c>
      <c r="D14" s="4" t="s">
        <v>52</v>
      </c>
      <c r="E14" s="4" t="s">
        <v>53</v>
      </c>
      <c r="F14" s="4">
        <v>3800.0</v>
      </c>
      <c r="G14" s="3" t="s">
        <v>36</v>
      </c>
      <c r="H14" s="3" t="s">
        <v>18</v>
      </c>
      <c r="I14" s="4" t="s">
        <v>78</v>
      </c>
      <c r="L14" s="4" t="s">
        <v>79</v>
      </c>
      <c r="U14" s="4">
        <v>10.0</v>
      </c>
      <c r="W14" s="4" t="s">
        <v>80</v>
      </c>
    </row>
    <row r="15">
      <c r="A15" s="3" t="s">
        <v>81</v>
      </c>
      <c r="B15" s="4" t="s">
        <v>13</v>
      </c>
      <c r="C15" s="4" t="s">
        <v>82</v>
      </c>
      <c r="D15" s="4" t="s">
        <v>52</v>
      </c>
      <c r="E15" s="4" t="s">
        <v>53</v>
      </c>
      <c r="F15" s="4">
        <v>3800.0</v>
      </c>
      <c r="G15" s="3" t="s">
        <v>36</v>
      </c>
      <c r="H15" s="3" t="s">
        <v>18</v>
      </c>
      <c r="I15" s="4" t="s">
        <v>78</v>
      </c>
      <c r="L15" s="4" t="s">
        <v>83</v>
      </c>
      <c r="U15" s="4">
        <v>10.0</v>
      </c>
    </row>
    <row r="16">
      <c r="A16" s="3" t="s">
        <v>84</v>
      </c>
      <c r="B16" s="4" t="s">
        <v>13</v>
      </c>
      <c r="C16" s="4" t="s">
        <v>85</v>
      </c>
      <c r="D16" s="4" t="s">
        <v>86</v>
      </c>
      <c r="E16" s="4" t="s">
        <v>87</v>
      </c>
      <c r="F16" s="4">
        <v>4000.0</v>
      </c>
      <c r="G16" s="3" t="s">
        <v>36</v>
      </c>
      <c r="H16" s="3" t="s">
        <v>18</v>
      </c>
      <c r="I16" s="4" t="s">
        <v>19</v>
      </c>
      <c r="L16" s="4" t="s">
        <v>88</v>
      </c>
      <c r="U16" s="4">
        <v>10.0</v>
      </c>
    </row>
    <row r="17">
      <c r="A17" s="3" t="s">
        <v>89</v>
      </c>
      <c r="B17" s="4" t="s">
        <v>13</v>
      </c>
      <c r="C17" s="4" t="s">
        <v>90</v>
      </c>
      <c r="D17" s="4" t="s">
        <v>86</v>
      </c>
      <c r="E17" s="4" t="s">
        <v>87</v>
      </c>
      <c r="F17" s="4">
        <v>4000.0</v>
      </c>
      <c r="G17" s="3" t="s">
        <v>36</v>
      </c>
      <c r="H17" s="3" t="s">
        <v>18</v>
      </c>
      <c r="I17" s="4" t="s">
        <v>60</v>
      </c>
      <c r="L17" s="4" t="s">
        <v>91</v>
      </c>
      <c r="U17" s="4">
        <v>10.0</v>
      </c>
    </row>
    <row r="18">
      <c r="A18" s="3" t="s">
        <v>92</v>
      </c>
      <c r="B18" s="4" t="s">
        <v>13</v>
      </c>
      <c r="C18" s="4" t="s">
        <v>93</v>
      </c>
      <c r="D18" s="4" t="s">
        <v>52</v>
      </c>
      <c r="E18" s="4" t="s">
        <v>53</v>
      </c>
      <c r="F18" s="4">
        <v>4200.0</v>
      </c>
      <c r="G18" s="3" t="s">
        <v>94</v>
      </c>
      <c r="H18" s="3" t="s">
        <v>95</v>
      </c>
      <c r="I18" s="4" t="s">
        <v>19</v>
      </c>
      <c r="L18" s="9" t="s">
        <v>96</v>
      </c>
      <c r="U18" s="4">
        <v>10.0</v>
      </c>
    </row>
    <row r="19">
      <c r="A19" s="3" t="s">
        <v>97</v>
      </c>
      <c r="B19" s="4" t="s">
        <v>13</v>
      </c>
      <c r="C19" s="4" t="s">
        <v>98</v>
      </c>
      <c r="D19" s="4" t="s">
        <v>52</v>
      </c>
      <c r="E19" s="4" t="s">
        <v>53</v>
      </c>
      <c r="F19" s="4">
        <v>3900.0</v>
      </c>
      <c r="G19" s="3" t="s">
        <v>94</v>
      </c>
      <c r="H19" s="3" t="s">
        <v>99</v>
      </c>
      <c r="I19" s="4" t="s">
        <v>100</v>
      </c>
      <c r="L19" s="9" t="s">
        <v>101</v>
      </c>
      <c r="U19" s="4">
        <v>10.0</v>
      </c>
    </row>
    <row r="20">
      <c r="A20" s="3" t="s">
        <v>102</v>
      </c>
      <c r="B20" s="4" t="s">
        <v>13</v>
      </c>
      <c r="C20" s="4" t="s">
        <v>103</v>
      </c>
      <c r="D20" s="4" t="s">
        <v>52</v>
      </c>
      <c r="E20" s="4" t="s">
        <v>53</v>
      </c>
      <c r="F20" s="4">
        <v>4250.0</v>
      </c>
      <c r="G20" s="3" t="s">
        <v>94</v>
      </c>
      <c r="H20" s="3" t="s">
        <v>95</v>
      </c>
      <c r="I20" s="4" t="s">
        <v>60</v>
      </c>
      <c r="L20" s="9" t="s">
        <v>104</v>
      </c>
      <c r="U20" s="4">
        <v>10.0</v>
      </c>
    </row>
    <row r="21">
      <c r="A21" s="3" t="s">
        <v>105</v>
      </c>
      <c r="B21" s="4" t="s">
        <v>13</v>
      </c>
      <c r="C21" s="4" t="s">
        <v>106</v>
      </c>
      <c r="D21" s="4" t="s">
        <v>52</v>
      </c>
      <c r="E21" s="4" t="s">
        <v>53</v>
      </c>
      <c r="F21" s="4">
        <v>4250.0</v>
      </c>
      <c r="G21" s="3" t="s">
        <v>107</v>
      </c>
      <c r="H21" s="3" t="s">
        <v>95</v>
      </c>
      <c r="I21" s="4" t="s">
        <v>67</v>
      </c>
      <c r="L21" s="9" t="s">
        <v>108</v>
      </c>
      <c r="U21" s="4">
        <v>10.0</v>
      </c>
    </row>
    <row r="22">
      <c r="A22" s="3" t="s">
        <v>109</v>
      </c>
      <c r="B22" s="4" t="s">
        <v>13</v>
      </c>
      <c r="C22" s="4" t="s">
        <v>110</v>
      </c>
      <c r="D22" s="4" t="s">
        <v>52</v>
      </c>
      <c r="E22" s="4" t="s">
        <v>53</v>
      </c>
      <c r="F22" s="4">
        <v>4200.0</v>
      </c>
      <c r="G22" s="3" t="s">
        <v>107</v>
      </c>
      <c r="H22" s="3" t="s">
        <v>95</v>
      </c>
      <c r="I22" s="4" t="s">
        <v>78</v>
      </c>
      <c r="L22" s="4" t="s">
        <v>111</v>
      </c>
      <c r="U22" s="4">
        <v>10.0</v>
      </c>
    </row>
    <row r="23">
      <c r="A23" s="3" t="s">
        <v>112</v>
      </c>
      <c r="B23" s="4" t="s">
        <v>13</v>
      </c>
      <c r="C23" s="4" t="s">
        <v>113</v>
      </c>
      <c r="D23" s="4" t="s">
        <v>52</v>
      </c>
      <c r="E23" s="4" t="s">
        <v>53</v>
      </c>
      <c r="F23" s="4">
        <v>4200.0</v>
      </c>
      <c r="G23" s="3" t="s">
        <v>107</v>
      </c>
      <c r="H23" s="3" t="s">
        <v>95</v>
      </c>
      <c r="I23" s="4" t="s">
        <v>114</v>
      </c>
      <c r="L23" s="9" t="s">
        <v>115</v>
      </c>
      <c r="U23" s="4">
        <v>10.0</v>
      </c>
    </row>
    <row r="24">
      <c r="A24" s="3" t="s">
        <v>116</v>
      </c>
      <c r="B24" s="4" t="s">
        <v>13</v>
      </c>
      <c r="C24" s="4" t="s">
        <v>117</v>
      </c>
      <c r="D24" s="4" t="s">
        <v>52</v>
      </c>
      <c r="E24" s="4" t="s">
        <v>53</v>
      </c>
      <c r="F24" s="4">
        <v>4200.0</v>
      </c>
      <c r="G24" s="3" t="s">
        <v>107</v>
      </c>
      <c r="H24" s="3" t="s">
        <v>95</v>
      </c>
      <c r="I24" s="4" t="s">
        <v>114</v>
      </c>
      <c r="L24" s="9" t="s">
        <v>118</v>
      </c>
      <c r="U24" s="4">
        <v>10.0</v>
      </c>
    </row>
    <row r="25">
      <c r="A25" s="3" t="s">
        <v>119</v>
      </c>
      <c r="B25" s="4" t="s">
        <v>13</v>
      </c>
      <c r="C25" s="4" t="s">
        <v>120</v>
      </c>
      <c r="D25" s="4" t="s">
        <v>121</v>
      </c>
      <c r="E25" s="4" t="s">
        <v>122</v>
      </c>
      <c r="F25" s="4">
        <v>3800.0</v>
      </c>
      <c r="G25" s="3" t="s">
        <v>36</v>
      </c>
      <c r="H25" s="3" t="s">
        <v>18</v>
      </c>
      <c r="I25" s="4" t="s">
        <v>114</v>
      </c>
      <c r="L25" s="9" t="s">
        <v>123</v>
      </c>
      <c r="U25" s="4">
        <v>10.0</v>
      </c>
    </row>
    <row r="26">
      <c r="A26" s="3" t="s">
        <v>124</v>
      </c>
      <c r="B26" s="4" t="s">
        <v>13</v>
      </c>
      <c r="C26" s="4" t="s">
        <v>125</v>
      </c>
      <c r="D26" s="4" t="s">
        <v>52</v>
      </c>
      <c r="E26" s="4" t="s">
        <v>53</v>
      </c>
      <c r="F26" s="4">
        <v>4100.0</v>
      </c>
      <c r="G26" s="3" t="s">
        <v>94</v>
      </c>
      <c r="H26" s="3" t="s">
        <v>126</v>
      </c>
      <c r="I26" s="4" t="s">
        <v>19</v>
      </c>
      <c r="L26" s="9" t="s">
        <v>127</v>
      </c>
      <c r="U26" s="4">
        <v>10.0</v>
      </c>
      <c r="W26" s="4" t="s">
        <v>80</v>
      </c>
    </row>
    <row r="27">
      <c r="A27" s="3" t="s">
        <v>128</v>
      </c>
      <c r="B27" s="4" t="s">
        <v>13</v>
      </c>
      <c r="C27" s="4" t="s">
        <v>129</v>
      </c>
      <c r="D27" s="4" t="s">
        <v>52</v>
      </c>
      <c r="E27" s="4" t="s">
        <v>53</v>
      </c>
      <c r="F27" s="4">
        <v>4300.0</v>
      </c>
      <c r="G27" s="3" t="s">
        <v>74</v>
      </c>
      <c r="H27" s="3" t="s">
        <v>130</v>
      </c>
      <c r="I27" s="4" t="s">
        <v>19</v>
      </c>
      <c r="L27" s="9" t="s">
        <v>131</v>
      </c>
      <c r="U27" s="4">
        <v>10.0</v>
      </c>
    </row>
    <row r="28">
      <c r="A28" s="3" t="s">
        <v>132</v>
      </c>
      <c r="B28" s="4" t="s">
        <v>13</v>
      </c>
      <c r="C28" s="4" t="s">
        <v>133</v>
      </c>
      <c r="D28" s="4" t="s">
        <v>52</v>
      </c>
      <c r="E28" s="4" t="s">
        <v>53</v>
      </c>
      <c r="F28" s="4">
        <v>4300.0</v>
      </c>
      <c r="G28" s="3" t="s">
        <v>74</v>
      </c>
      <c r="H28" s="3" t="s">
        <v>130</v>
      </c>
      <c r="I28" s="4" t="s">
        <v>67</v>
      </c>
      <c r="L28" s="9" t="s">
        <v>134</v>
      </c>
      <c r="U28" s="4">
        <v>11.0</v>
      </c>
      <c r="V28" s="4" t="s">
        <v>135</v>
      </c>
    </row>
    <row r="29">
      <c r="A29" s="3" t="s">
        <v>136</v>
      </c>
      <c r="B29" s="4" t="s">
        <v>13</v>
      </c>
      <c r="C29" s="4" t="s">
        <v>137</v>
      </c>
      <c r="D29" s="4" t="s">
        <v>52</v>
      </c>
      <c r="E29" s="4" t="s">
        <v>53</v>
      </c>
      <c r="F29" s="4">
        <v>4300.0</v>
      </c>
      <c r="G29" s="3" t="s">
        <v>74</v>
      </c>
      <c r="H29" s="3" t="s">
        <v>130</v>
      </c>
      <c r="I29" s="4" t="s">
        <v>114</v>
      </c>
      <c r="L29" s="10" t="s">
        <v>138</v>
      </c>
      <c r="U29" s="4">
        <v>11.0</v>
      </c>
    </row>
    <row r="30">
      <c r="A30" s="3" t="s">
        <v>139</v>
      </c>
      <c r="B30" s="4" t="s">
        <v>13</v>
      </c>
      <c r="C30" s="4" t="s">
        <v>140</v>
      </c>
      <c r="D30" s="4" t="s">
        <v>141</v>
      </c>
      <c r="E30" s="4" t="s">
        <v>142</v>
      </c>
      <c r="F30" s="4">
        <v>5900.0</v>
      </c>
      <c r="G30" s="3" t="s">
        <v>74</v>
      </c>
      <c r="H30" s="3" t="s">
        <v>18</v>
      </c>
      <c r="I30" s="4" t="s">
        <v>19</v>
      </c>
      <c r="J30" s="4" t="s">
        <v>20</v>
      </c>
      <c r="L30" s="9" t="s">
        <v>143</v>
      </c>
      <c r="U30" s="4">
        <v>11.0</v>
      </c>
      <c r="W30" s="4" t="s">
        <v>144</v>
      </c>
    </row>
    <row r="31">
      <c r="A31" s="3" t="s">
        <v>145</v>
      </c>
      <c r="B31" s="4" t="s">
        <v>13</v>
      </c>
      <c r="C31" s="4" t="s">
        <v>146</v>
      </c>
      <c r="D31" s="4" t="s">
        <v>141</v>
      </c>
      <c r="E31" s="4" t="s">
        <v>142</v>
      </c>
      <c r="F31" s="4">
        <v>5900.0</v>
      </c>
      <c r="G31" s="3" t="s">
        <v>74</v>
      </c>
      <c r="H31" s="3" t="s">
        <v>18</v>
      </c>
      <c r="I31" s="4" t="s">
        <v>147</v>
      </c>
      <c r="J31" s="4" t="s">
        <v>20</v>
      </c>
      <c r="L31" s="9" t="s">
        <v>148</v>
      </c>
      <c r="U31" s="4">
        <v>11.0</v>
      </c>
    </row>
    <row r="32">
      <c r="A32" s="3" t="s">
        <v>149</v>
      </c>
      <c r="B32" s="4" t="s">
        <v>13</v>
      </c>
      <c r="C32" s="4" t="s">
        <v>150</v>
      </c>
      <c r="D32" s="4" t="s">
        <v>141</v>
      </c>
      <c r="E32" s="4" t="s">
        <v>142</v>
      </c>
      <c r="F32" s="4">
        <v>5900.0</v>
      </c>
      <c r="G32" s="3" t="s">
        <v>74</v>
      </c>
      <c r="H32" s="3" t="s">
        <v>18</v>
      </c>
      <c r="I32" s="4" t="s">
        <v>151</v>
      </c>
      <c r="J32" s="4" t="s">
        <v>20</v>
      </c>
      <c r="L32" s="4" t="s">
        <v>152</v>
      </c>
      <c r="U32" s="4">
        <v>11.0</v>
      </c>
    </row>
    <row r="33">
      <c r="A33" s="3" t="s">
        <v>153</v>
      </c>
      <c r="B33" s="4" t="s">
        <v>13</v>
      </c>
      <c r="C33" s="4" t="s">
        <v>154</v>
      </c>
      <c r="D33" s="4" t="s">
        <v>141</v>
      </c>
      <c r="E33" s="4" t="s">
        <v>142</v>
      </c>
      <c r="F33" s="4">
        <v>5800.0</v>
      </c>
      <c r="G33" s="3" t="s">
        <v>155</v>
      </c>
      <c r="H33" s="3" t="s">
        <v>18</v>
      </c>
      <c r="I33" s="4" t="s">
        <v>156</v>
      </c>
      <c r="J33" s="4" t="s">
        <v>20</v>
      </c>
      <c r="L33" s="9" t="s">
        <v>157</v>
      </c>
      <c r="U33" s="4">
        <v>11.0</v>
      </c>
    </row>
    <row r="34">
      <c r="A34" s="3" t="s">
        <v>158</v>
      </c>
      <c r="B34" s="4" t="s">
        <v>13</v>
      </c>
      <c r="C34" s="4" t="s">
        <v>159</v>
      </c>
      <c r="D34" s="4" t="s">
        <v>141</v>
      </c>
      <c r="E34" s="4" t="s">
        <v>142</v>
      </c>
      <c r="F34" s="4">
        <v>5800.0</v>
      </c>
      <c r="G34" s="3" t="s">
        <v>155</v>
      </c>
      <c r="H34" s="3" t="s">
        <v>18</v>
      </c>
      <c r="I34" s="4" t="s">
        <v>160</v>
      </c>
      <c r="J34" s="4" t="s">
        <v>20</v>
      </c>
      <c r="L34" s="9" t="s">
        <v>161</v>
      </c>
      <c r="U34" s="4">
        <v>11.0</v>
      </c>
    </row>
    <row r="35">
      <c r="A35" s="3" t="s">
        <v>162</v>
      </c>
      <c r="B35" s="4" t="s">
        <v>13</v>
      </c>
      <c r="C35" s="4" t="s">
        <v>163</v>
      </c>
      <c r="D35" s="4" t="s">
        <v>164</v>
      </c>
      <c r="E35" s="4" t="s">
        <v>165</v>
      </c>
      <c r="F35" s="4">
        <v>6600.0</v>
      </c>
      <c r="G35" s="3" t="s">
        <v>166</v>
      </c>
      <c r="H35" s="3" t="s">
        <v>18</v>
      </c>
      <c r="I35" s="4" t="s">
        <v>19</v>
      </c>
      <c r="J35" s="4" t="s">
        <v>20</v>
      </c>
      <c r="L35" s="9" t="s">
        <v>167</v>
      </c>
      <c r="U35" s="4">
        <v>11.0</v>
      </c>
      <c r="W35" s="4" t="s">
        <v>80</v>
      </c>
    </row>
    <row r="36">
      <c r="A36" s="3" t="s">
        <v>168</v>
      </c>
      <c r="B36" s="4" t="s">
        <v>13</v>
      </c>
      <c r="C36" s="4" t="s">
        <v>169</v>
      </c>
      <c r="D36" s="4" t="s">
        <v>164</v>
      </c>
      <c r="E36" s="4" t="s">
        <v>165</v>
      </c>
      <c r="F36" s="4">
        <v>6600.0</v>
      </c>
      <c r="G36" s="3" t="s">
        <v>166</v>
      </c>
      <c r="H36" s="3" t="s">
        <v>18</v>
      </c>
      <c r="I36" s="4" t="s">
        <v>170</v>
      </c>
      <c r="J36" s="4" t="s">
        <v>20</v>
      </c>
      <c r="L36" s="9" t="s">
        <v>171</v>
      </c>
      <c r="U36" s="4">
        <v>11.0</v>
      </c>
    </row>
    <row r="37">
      <c r="A37" s="3" t="s">
        <v>172</v>
      </c>
      <c r="B37" s="4" t="s">
        <v>13</v>
      </c>
      <c r="C37" s="4" t="s">
        <v>173</v>
      </c>
      <c r="D37" s="4" t="s">
        <v>164</v>
      </c>
      <c r="E37" s="4" t="s">
        <v>165</v>
      </c>
      <c r="F37" s="4">
        <v>6600.0</v>
      </c>
      <c r="G37" s="3" t="s">
        <v>166</v>
      </c>
      <c r="H37" s="3" t="s">
        <v>18</v>
      </c>
      <c r="I37" s="4" t="s">
        <v>174</v>
      </c>
      <c r="J37" s="4" t="s">
        <v>20</v>
      </c>
      <c r="L37" s="9" t="s">
        <v>175</v>
      </c>
      <c r="U37" s="4">
        <v>11.0</v>
      </c>
    </row>
    <row r="38">
      <c r="A38" s="3" t="s">
        <v>176</v>
      </c>
      <c r="B38" s="4" t="s">
        <v>13</v>
      </c>
      <c r="C38" s="4" t="s">
        <v>177</v>
      </c>
      <c r="D38" s="4" t="s">
        <v>164</v>
      </c>
      <c r="E38" s="4" t="s">
        <v>165</v>
      </c>
      <c r="F38" s="4">
        <v>6600.0</v>
      </c>
      <c r="G38" s="3" t="s">
        <v>166</v>
      </c>
      <c r="H38" s="3" t="s">
        <v>18</v>
      </c>
      <c r="I38" s="4" t="s">
        <v>178</v>
      </c>
      <c r="J38" s="4" t="s">
        <v>20</v>
      </c>
      <c r="U38" s="4">
        <v>11.0</v>
      </c>
    </row>
    <row r="39">
      <c r="A39" s="3" t="s">
        <v>179</v>
      </c>
      <c r="B39" s="4" t="s">
        <v>13</v>
      </c>
      <c r="C39" s="4" t="s">
        <v>180</v>
      </c>
      <c r="D39" s="4" t="s">
        <v>164</v>
      </c>
      <c r="E39" s="4" t="s">
        <v>165</v>
      </c>
      <c r="F39" s="4">
        <v>6500.0</v>
      </c>
      <c r="G39" s="3" t="s">
        <v>166</v>
      </c>
      <c r="H39" s="3" t="s">
        <v>18</v>
      </c>
      <c r="I39" s="4" t="s">
        <v>181</v>
      </c>
      <c r="J39" s="4" t="s">
        <v>20</v>
      </c>
      <c r="U39" s="4">
        <v>11.0</v>
      </c>
    </row>
    <row r="40">
      <c r="A40" s="3" t="s">
        <v>182</v>
      </c>
      <c r="B40" s="4" t="s">
        <v>13</v>
      </c>
      <c r="C40" s="4" t="s">
        <v>183</v>
      </c>
      <c r="D40" s="4" t="s">
        <v>141</v>
      </c>
      <c r="E40" s="4" t="s">
        <v>142</v>
      </c>
      <c r="F40" s="4">
        <v>5900.0</v>
      </c>
      <c r="G40" s="3" t="s">
        <v>74</v>
      </c>
      <c r="H40" s="3" t="s">
        <v>18</v>
      </c>
      <c r="I40" s="4" t="s">
        <v>114</v>
      </c>
      <c r="J40" s="4" t="s">
        <v>20</v>
      </c>
      <c r="U40" s="4">
        <v>11.0</v>
      </c>
    </row>
    <row r="41">
      <c r="A41" s="3" t="s">
        <v>184</v>
      </c>
      <c r="B41" s="4" t="s">
        <v>13</v>
      </c>
      <c r="C41" s="4" t="s">
        <v>185</v>
      </c>
      <c r="D41" s="4" t="s">
        <v>141</v>
      </c>
      <c r="E41" s="4" t="s">
        <v>142</v>
      </c>
      <c r="F41" s="4">
        <v>5900.0</v>
      </c>
      <c r="G41" s="3" t="s">
        <v>74</v>
      </c>
      <c r="H41" s="3" t="s">
        <v>18</v>
      </c>
      <c r="I41" s="4" t="s">
        <v>67</v>
      </c>
      <c r="J41" s="4" t="s">
        <v>20</v>
      </c>
      <c r="U41" s="4">
        <v>11.0</v>
      </c>
    </row>
    <row r="42">
      <c r="A42" s="3" t="s">
        <v>186</v>
      </c>
      <c r="B42" s="4" t="s">
        <v>13</v>
      </c>
      <c r="C42" s="4" t="s">
        <v>187</v>
      </c>
      <c r="D42" s="4" t="s">
        <v>86</v>
      </c>
      <c r="E42" s="4" t="s">
        <v>87</v>
      </c>
      <c r="F42" s="4">
        <v>4300.0</v>
      </c>
      <c r="G42" s="3" t="s">
        <v>74</v>
      </c>
      <c r="H42" s="3" t="s">
        <v>18</v>
      </c>
      <c r="I42" s="4" t="s">
        <v>19</v>
      </c>
      <c r="U42" s="4">
        <v>11.0</v>
      </c>
    </row>
    <row r="43">
      <c r="A43" s="3" t="s">
        <v>188</v>
      </c>
      <c r="B43" s="4" t="s">
        <v>13</v>
      </c>
      <c r="C43" s="4" t="s">
        <v>189</v>
      </c>
      <c r="D43" s="4" t="s">
        <v>86</v>
      </c>
      <c r="E43" s="4" t="s">
        <v>87</v>
      </c>
      <c r="F43" s="4">
        <v>4300.0</v>
      </c>
      <c r="G43" s="3" t="s">
        <v>155</v>
      </c>
      <c r="H43" s="3" t="s">
        <v>18</v>
      </c>
      <c r="I43" s="4" t="s">
        <v>190</v>
      </c>
      <c r="L43" s="4" t="s">
        <v>191</v>
      </c>
      <c r="U43" s="4">
        <v>11.0</v>
      </c>
    </row>
    <row r="44">
      <c r="A44" s="3" t="s">
        <v>192</v>
      </c>
      <c r="B44" s="4" t="s">
        <v>13</v>
      </c>
      <c r="C44" s="4" t="s">
        <v>193</v>
      </c>
      <c r="D44" s="4" t="s">
        <v>86</v>
      </c>
      <c r="E44" s="4" t="s">
        <v>87</v>
      </c>
      <c r="F44" s="4">
        <v>4300.0</v>
      </c>
      <c r="G44" s="3" t="s">
        <v>155</v>
      </c>
      <c r="H44" s="3" t="s">
        <v>18</v>
      </c>
      <c r="I44" s="4" t="s">
        <v>194</v>
      </c>
      <c r="U44" s="4">
        <v>11.0</v>
      </c>
    </row>
    <row r="45">
      <c r="A45" s="3" t="s">
        <v>195</v>
      </c>
      <c r="B45" s="4" t="s">
        <v>13</v>
      </c>
      <c r="C45" s="4" t="s">
        <v>196</v>
      </c>
      <c r="D45" s="4" t="s">
        <v>141</v>
      </c>
      <c r="E45" s="4" t="s">
        <v>142</v>
      </c>
      <c r="F45" s="4">
        <v>5800.0</v>
      </c>
      <c r="G45" s="3" t="s">
        <v>155</v>
      </c>
      <c r="H45" s="3" t="s">
        <v>18</v>
      </c>
      <c r="I45" s="4" t="s">
        <v>197</v>
      </c>
      <c r="J45" s="4" t="s">
        <v>20</v>
      </c>
      <c r="U45" s="4">
        <v>11.0</v>
      </c>
    </row>
    <row r="46">
      <c r="A46" s="3" t="s">
        <v>198</v>
      </c>
      <c r="B46" s="4" t="s">
        <v>13</v>
      </c>
      <c r="C46" s="4" t="s">
        <v>199</v>
      </c>
      <c r="D46" s="4" t="s">
        <v>141</v>
      </c>
      <c r="E46" s="4" t="s">
        <v>142</v>
      </c>
      <c r="F46" s="4">
        <v>5900.0</v>
      </c>
      <c r="G46" s="3" t="s">
        <v>155</v>
      </c>
      <c r="H46" s="3" t="s">
        <v>18</v>
      </c>
      <c r="I46" s="4" t="s">
        <v>200</v>
      </c>
      <c r="J46" s="4" t="s">
        <v>20</v>
      </c>
      <c r="U46" s="4">
        <v>11.0</v>
      </c>
    </row>
    <row r="47">
      <c r="A47" s="3" t="s">
        <v>201</v>
      </c>
      <c r="B47" s="4" t="s">
        <v>13</v>
      </c>
      <c r="C47" s="4" t="s">
        <v>202</v>
      </c>
      <c r="D47" s="4" t="s">
        <v>141</v>
      </c>
      <c r="E47" s="4" t="s">
        <v>142</v>
      </c>
      <c r="F47" s="4">
        <v>5800.0</v>
      </c>
      <c r="G47" s="3" t="s">
        <v>155</v>
      </c>
      <c r="H47" s="3" t="s">
        <v>18</v>
      </c>
      <c r="I47" s="4" t="s">
        <v>60</v>
      </c>
      <c r="J47" s="4" t="s">
        <v>20</v>
      </c>
      <c r="U47" s="4">
        <v>11.0</v>
      </c>
    </row>
    <row r="48">
      <c r="A48" s="3" t="s">
        <v>203</v>
      </c>
      <c r="B48" s="4" t="s">
        <v>13</v>
      </c>
      <c r="C48" s="4" t="s">
        <v>204</v>
      </c>
      <c r="D48" s="4" t="s">
        <v>141</v>
      </c>
      <c r="E48" s="4" t="s">
        <v>142</v>
      </c>
      <c r="F48" s="4">
        <v>5800.0</v>
      </c>
      <c r="G48" s="3" t="s">
        <v>155</v>
      </c>
      <c r="H48" s="3" t="s">
        <v>18</v>
      </c>
      <c r="I48" s="4" t="s">
        <v>205</v>
      </c>
      <c r="J48" s="4" t="s">
        <v>20</v>
      </c>
      <c r="U48" s="4">
        <v>11.0</v>
      </c>
      <c r="W48" s="4" t="s">
        <v>206</v>
      </c>
    </row>
    <row r="49">
      <c r="A49" s="3" t="s">
        <v>207</v>
      </c>
      <c r="B49" s="4" t="s">
        <v>13</v>
      </c>
      <c r="C49" s="4" t="s">
        <v>208</v>
      </c>
      <c r="D49" s="4" t="s">
        <v>141</v>
      </c>
      <c r="E49" s="4" t="s">
        <v>142</v>
      </c>
      <c r="F49" s="4">
        <v>5800.0</v>
      </c>
      <c r="G49" s="3" t="s">
        <v>155</v>
      </c>
      <c r="H49" s="3" t="s">
        <v>18</v>
      </c>
      <c r="I49" s="4" t="s">
        <v>205</v>
      </c>
      <c r="J49" s="4" t="s">
        <v>20</v>
      </c>
      <c r="U49" s="4">
        <v>11.0</v>
      </c>
    </row>
    <row r="50">
      <c r="A50" s="3" t="s">
        <v>209</v>
      </c>
      <c r="B50" s="4" t="s">
        <v>13</v>
      </c>
      <c r="C50" s="4" t="s">
        <v>210</v>
      </c>
      <c r="D50" s="4" t="s">
        <v>211</v>
      </c>
      <c r="E50" s="4" t="s">
        <v>212</v>
      </c>
      <c r="F50" s="4">
        <v>6600.0</v>
      </c>
      <c r="G50" s="3" t="s">
        <v>166</v>
      </c>
      <c r="H50" s="3" t="s">
        <v>18</v>
      </c>
      <c r="I50" s="4" t="s">
        <v>213</v>
      </c>
      <c r="J50" s="4" t="s">
        <v>20</v>
      </c>
      <c r="L50" s="4" t="s">
        <v>214</v>
      </c>
      <c r="U50" s="4">
        <v>11.0</v>
      </c>
      <c r="W50" s="4" t="s">
        <v>215</v>
      </c>
    </row>
    <row r="51">
      <c r="A51" s="3" t="s">
        <v>216</v>
      </c>
      <c r="B51" s="4" t="s">
        <v>13</v>
      </c>
      <c r="C51" s="4" t="s">
        <v>217</v>
      </c>
      <c r="D51" s="4" t="s">
        <v>218</v>
      </c>
      <c r="E51" s="4" t="s">
        <v>219</v>
      </c>
      <c r="F51" s="4">
        <v>6600.0</v>
      </c>
      <c r="G51" s="3" t="s">
        <v>166</v>
      </c>
      <c r="H51" s="3" t="s">
        <v>18</v>
      </c>
      <c r="I51" s="4" t="s">
        <v>100</v>
      </c>
      <c r="J51" s="4" t="s">
        <v>20</v>
      </c>
      <c r="L51" s="4" t="s">
        <v>220</v>
      </c>
      <c r="U51" s="4">
        <v>11.0</v>
      </c>
    </row>
    <row r="52">
      <c r="A52" s="3" t="s">
        <v>221</v>
      </c>
      <c r="B52" s="4" t="s">
        <v>13</v>
      </c>
      <c r="C52" s="4" t="s">
        <v>222</v>
      </c>
      <c r="D52" s="4" t="s">
        <v>218</v>
      </c>
      <c r="E52" s="4" t="s">
        <v>219</v>
      </c>
      <c r="F52" s="4">
        <v>6600.0</v>
      </c>
      <c r="G52" s="3" t="s">
        <v>166</v>
      </c>
      <c r="H52" s="3" t="s">
        <v>18</v>
      </c>
      <c r="I52" s="4" t="s">
        <v>114</v>
      </c>
      <c r="J52" s="4" t="s">
        <v>20</v>
      </c>
      <c r="U52" s="4">
        <v>11.0</v>
      </c>
    </row>
    <row r="53">
      <c r="A53" s="3" t="s">
        <v>223</v>
      </c>
      <c r="B53" s="4" t="s">
        <v>13</v>
      </c>
      <c r="C53" s="4" t="s">
        <v>224</v>
      </c>
      <c r="D53" s="4" t="s">
        <v>218</v>
      </c>
      <c r="E53" s="4" t="s">
        <v>219</v>
      </c>
      <c r="F53" s="4">
        <v>6500.0</v>
      </c>
      <c r="G53" s="3" t="s">
        <v>166</v>
      </c>
      <c r="H53" s="3" t="s">
        <v>18</v>
      </c>
      <c r="I53" s="4" t="s">
        <v>67</v>
      </c>
      <c r="J53" s="4" t="s">
        <v>20</v>
      </c>
      <c r="U53" s="4">
        <v>11.0</v>
      </c>
      <c r="W53" s="4" t="s">
        <v>80</v>
      </c>
    </row>
    <row r="54">
      <c r="A54" s="3" t="s">
        <v>225</v>
      </c>
      <c r="B54" s="4" t="s">
        <v>13</v>
      </c>
      <c r="C54" s="4" t="s">
        <v>226</v>
      </c>
      <c r="D54" s="4" t="s">
        <v>141</v>
      </c>
      <c r="E54" s="4" t="s">
        <v>142</v>
      </c>
      <c r="F54" s="4">
        <v>6600.0</v>
      </c>
      <c r="G54" s="3" t="s">
        <v>227</v>
      </c>
      <c r="H54" s="3" t="s">
        <v>228</v>
      </c>
      <c r="I54" s="4" t="s">
        <v>19</v>
      </c>
      <c r="J54" s="4" t="s">
        <v>20</v>
      </c>
      <c r="L54" s="4" t="s">
        <v>229</v>
      </c>
      <c r="U54" s="4">
        <v>11.0</v>
      </c>
      <c r="W54" s="4" t="s">
        <v>80</v>
      </c>
    </row>
    <row r="55">
      <c r="A55" s="3" t="s">
        <v>230</v>
      </c>
      <c r="B55" s="4" t="s">
        <v>13</v>
      </c>
      <c r="C55" s="4" t="s">
        <v>231</v>
      </c>
      <c r="D55" s="4" t="s">
        <v>141</v>
      </c>
      <c r="E55" s="4" t="s">
        <v>142</v>
      </c>
      <c r="F55" s="4">
        <v>6700.0</v>
      </c>
      <c r="G55" s="3" t="s">
        <v>94</v>
      </c>
      <c r="H55" s="3" t="s">
        <v>232</v>
      </c>
      <c r="I55" s="4" t="s">
        <v>19</v>
      </c>
      <c r="J55" s="4" t="s">
        <v>20</v>
      </c>
      <c r="L55" s="4" t="s">
        <v>233</v>
      </c>
      <c r="U55" s="4">
        <v>11.0</v>
      </c>
    </row>
    <row r="56">
      <c r="A56" s="3" t="s">
        <v>234</v>
      </c>
      <c r="B56" s="4" t="s">
        <v>13</v>
      </c>
      <c r="C56" s="4" t="s">
        <v>235</v>
      </c>
      <c r="D56" s="4" t="s">
        <v>141</v>
      </c>
      <c r="E56" s="4" t="s">
        <v>142</v>
      </c>
      <c r="F56" s="4">
        <v>6700.0</v>
      </c>
      <c r="G56" s="3" t="s">
        <v>94</v>
      </c>
      <c r="H56" s="3" t="s">
        <v>232</v>
      </c>
      <c r="I56" s="4" t="s">
        <v>114</v>
      </c>
      <c r="J56" s="4" t="s">
        <v>20</v>
      </c>
      <c r="U56" s="4">
        <v>11.0</v>
      </c>
    </row>
    <row r="57">
      <c r="A57" s="3" t="s">
        <v>236</v>
      </c>
      <c r="G57" s="11"/>
      <c r="H57" s="11"/>
      <c r="L57" s="4" t="s">
        <v>237</v>
      </c>
    </row>
    <row r="58">
      <c r="A58" s="3" t="s">
        <v>238</v>
      </c>
      <c r="B58" s="4" t="s">
        <v>13</v>
      </c>
      <c r="C58" s="4" t="s">
        <v>239</v>
      </c>
      <c r="D58" s="4" t="s">
        <v>141</v>
      </c>
      <c r="E58" s="4" t="s">
        <v>142</v>
      </c>
      <c r="F58" s="4">
        <v>6700.0</v>
      </c>
      <c r="G58" s="3" t="s">
        <v>94</v>
      </c>
      <c r="H58" s="3" t="s">
        <v>232</v>
      </c>
      <c r="I58" s="4" t="s">
        <v>240</v>
      </c>
      <c r="J58" s="4" t="s">
        <v>20</v>
      </c>
      <c r="L58" s="4" t="s">
        <v>241</v>
      </c>
      <c r="U58" s="4">
        <v>11.0</v>
      </c>
      <c r="W58" s="4" t="s">
        <v>215</v>
      </c>
    </row>
    <row r="59">
      <c r="A59" s="3" t="s">
        <v>242</v>
      </c>
      <c r="B59" s="4" t="s">
        <v>13</v>
      </c>
      <c r="C59" s="4" t="s">
        <v>243</v>
      </c>
      <c r="D59" s="4" t="s">
        <v>141</v>
      </c>
      <c r="E59" s="4" t="s">
        <v>142</v>
      </c>
      <c r="F59" s="4">
        <v>6800.0</v>
      </c>
      <c r="G59" s="3" t="s">
        <v>94</v>
      </c>
      <c r="H59" s="3" t="s">
        <v>232</v>
      </c>
      <c r="I59" s="4" t="s">
        <v>240</v>
      </c>
      <c r="J59" s="4" t="s">
        <v>20</v>
      </c>
      <c r="L59" s="4" t="s">
        <v>244</v>
      </c>
      <c r="U59" s="4">
        <v>11.0</v>
      </c>
      <c r="W59" s="4" t="s">
        <v>215</v>
      </c>
    </row>
    <row r="60">
      <c r="A60" s="3" t="s">
        <v>245</v>
      </c>
      <c r="B60" s="4" t="s">
        <v>246</v>
      </c>
      <c r="C60" s="4" t="s">
        <v>14</v>
      </c>
      <c r="D60" s="4" t="s">
        <v>247</v>
      </c>
      <c r="E60" s="4" t="s">
        <v>248</v>
      </c>
      <c r="F60" s="4">
        <v>6300.0</v>
      </c>
      <c r="G60" s="3" t="s">
        <v>36</v>
      </c>
      <c r="H60" s="3" t="s">
        <v>249</v>
      </c>
      <c r="I60" s="4" t="s">
        <v>19</v>
      </c>
      <c r="J60" s="4" t="s">
        <v>20</v>
      </c>
      <c r="L60" s="4" t="s">
        <v>250</v>
      </c>
      <c r="U60" s="4">
        <v>11.0</v>
      </c>
    </row>
    <row r="61">
      <c r="A61" s="3" t="s">
        <v>251</v>
      </c>
      <c r="B61" s="4" t="s">
        <v>246</v>
      </c>
      <c r="C61" s="4" t="s">
        <v>23</v>
      </c>
      <c r="D61" s="4" t="s">
        <v>252</v>
      </c>
      <c r="E61" s="4" t="s">
        <v>253</v>
      </c>
      <c r="F61" s="4">
        <v>6000.0</v>
      </c>
      <c r="G61" s="3" t="s">
        <v>36</v>
      </c>
      <c r="H61" s="3" t="s">
        <v>249</v>
      </c>
      <c r="J61" s="4" t="s">
        <v>254</v>
      </c>
      <c r="L61" s="4" t="s">
        <v>255</v>
      </c>
      <c r="U61" s="4">
        <v>11.0</v>
      </c>
      <c r="W61" s="4" t="s">
        <v>256</v>
      </c>
    </row>
    <row r="62">
      <c r="A62" s="3" t="s">
        <v>257</v>
      </c>
      <c r="B62" s="4" t="s">
        <v>246</v>
      </c>
      <c r="C62" s="4" t="s">
        <v>28</v>
      </c>
      <c r="D62" s="4" t="s">
        <v>258</v>
      </c>
      <c r="E62" s="4" t="s">
        <v>259</v>
      </c>
      <c r="F62" s="4">
        <v>5300.0</v>
      </c>
      <c r="G62" s="3" t="s">
        <v>94</v>
      </c>
      <c r="H62" s="3" t="s">
        <v>126</v>
      </c>
      <c r="I62" s="4" t="s">
        <v>100</v>
      </c>
      <c r="L62" s="4" t="s">
        <v>260</v>
      </c>
      <c r="U62" s="4">
        <v>11.0</v>
      </c>
    </row>
    <row r="63">
      <c r="A63" s="3" t="s">
        <v>261</v>
      </c>
      <c r="B63" s="4" t="s">
        <v>246</v>
      </c>
      <c r="C63" s="4" t="s">
        <v>33</v>
      </c>
      <c r="D63" s="4" t="s">
        <v>262</v>
      </c>
      <c r="E63" s="4" t="s">
        <v>263</v>
      </c>
      <c r="F63" s="4">
        <v>5800.0</v>
      </c>
      <c r="G63" s="3" t="s">
        <v>94</v>
      </c>
      <c r="H63" s="3" t="s">
        <v>95</v>
      </c>
      <c r="I63" s="4" t="s">
        <v>100</v>
      </c>
      <c r="J63" s="4" t="s">
        <v>20</v>
      </c>
      <c r="U63" s="4">
        <v>11.0</v>
      </c>
    </row>
    <row r="64">
      <c r="A64" s="3" t="s">
        <v>264</v>
      </c>
      <c r="B64" s="4" t="s">
        <v>246</v>
      </c>
      <c r="C64" s="4" t="s">
        <v>41</v>
      </c>
      <c r="D64" s="4" t="s">
        <v>265</v>
      </c>
      <c r="E64" s="4" t="s">
        <v>266</v>
      </c>
      <c r="F64" s="4">
        <v>6400.0</v>
      </c>
      <c r="G64" s="3" t="s">
        <v>267</v>
      </c>
      <c r="H64" s="3" t="s">
        <v>249</v>
      </c>
      <c r="I64" s="4" t="s">
        <v>19</v>
      </c>
      <c r="J64" s="4" t="s">
        <v>20</v>
      </c>
      <c r="U64" s="4">
        <v>11.0</v>
      </c>
    </row>
    <row r="65">
      <c r="A65" s="3" t="s">
        <v>268</v>
      </c>
      <c r="B65" s="4" t="s">
        <v>246</v>
      </c>
      <c r="C65" s="4" t="s">
        <v>46</v>
      </c>
      <c r="D65" s="4" t="s">
        <v>269</v>
      </c>
      <c r="E65" s="4" t="s">
        <v>270</v>
      </c>
      <c r="F65" s="4">
        <v>6200.0</v>
      </c>
      <c r="G65" s="3" t="s">
        <v>267</v>
      </c>
      <c r="H65" s="3" t="s">
        <v>249</v>
      </c>
      <c r="I65" s="4" t="s">
        <v>19</v>
      </c>
      <c r="J65" s="4" t="s">
        <v>20</v>
      </c>
      <c r="U65" s="4">
        <v>11.0</v>
      </c>
    </row>
    <row r="66">
      <c r="A66" s="3" t="s">
        <v>271</v>
      </c>
      <c r="B66" s="4" t="s">
        <v>246</v>
      </c>
      <c r="C66" s="4" t="s">
        <v>51</v>
      </c>
      <c r="D66" s="4" t="s">
        <v>265</v>
      </c>
      <c r="E66" s="4" t="s">
        <v>266</v>
      </c>
      <c r="F66" s="4">
        <v>6900.0</v>
      </c>
      <c r="G66" s="3" t="s">
        <v>74</v>
      </c>
      <c r="H66" s="3" t="s">
        <v>249</v>
      </c>
      <c r="I66" s="4" t="s">
        <v>100</v>
      </c>
      <c r="J66" s="4" t="s">
        <v>20</v>
      </c>
      <c r="L66" s="4" t="s">
        <v>272</v>
      </c>
      <c r="U66" s="4">
        <v>11.0</v>
      </c>
    </row>
    <row r="67">
      <c r="A67" s="3" t="s">
        <v>273</v>
      </c>
      <c r="B67" s="4" t="s">
        <v>246</v>
      </c>
      <c r="C67" s="4" t="s">
        <v>58</v>
      </c>
      <c r="D67" s="4" t="s">
        <v>274</v>
      </c>
      <c r="E67" s="4" t="s">
        <v>275</v>
      </c>
      <c r="F67" s="4">
        <v>7000.0</v>
      </c>
      <c r="G67" s="3" t="s">
        <v>36</v>
      </c>
      <c r="H67" s="3" t="s">
        <v>249</v>
      </c>
      <c r="I67" s="4" t="s">
        <v>19</v>
      </c>
      <c r="J67" s="4" t="s">
        <v>20</v>
      </c>
      <c r="L67" s="4" t="s">
        <v>276</v>
      </c>
      <c r="U67" s="4">
        <v>11.0</v>
      </c>
    </row>
    <row r="68">
      <c r="A68" s="3" t="s">
        <v>277</v>
      </c>
      <c r="B68" s="4" t="s">
        <v>246</v>
      </c>
      <c r="C68" s="4" t="s">
        <v>63</v>
      </c>
      <c r="D68" s="4" t="s">
        <v>269</v>
      </c>
      <c r="E68" s="4" t="s">
        <v>270</v>
      </c>
      <c r="F68" s="4">
        <v>6300.0</v>
      </c>
      <c r="G68" s="3" t="s">
        <v>36</v>
      </c>
      <c r="H68" s="3" t="s">
        <v>249</v>
      </c>
      <c r="I68" s="4" t="s">
        <v>278</v>
      </c>
      <c r="J68" s="4" t="s">
        <v>20</v>
      </c>
      <c r="U68" s="4">
        <v>11.0</v>
      </c>
    </row>
    <row r="69">
      <c r="A69" s="3" t="s">
        <v>279</v>
      </c>
      <c r="B69" s="4" t="s">
        <v>246</v>
      </c>
      <c r="C69" s="4" t="s">
        <v>66</v>
      </c>
      <c r="D69" s="4" t="s">
        <v>269</v>
      </c>
      <c r="E69" s="4" t="s">
        <v>270</v>
      </c>
      <c r="F69" s="4">
        <v>6300.0</v>
      </c>
      <c r="G69" s="3" t="s">
        <v>36</v>
      </c>
      <c r="H69" s="3" t="s">
        <v>249</v>
      </c>
      <c r="I69" s="4" t="s">
        <v>280</v>
      </c>
      <c r="J69" s="4" t="s">
        <v>20</v>
      </c>
      <c r="U69" s="4">
        <v>11.0</v>
      </c>
    </row>
    <row r="70">
      <c r="A70" s="3" t="s">
        <v>281</v>
      </c>
      <c r="B70" s="4" t="s">
        <v>246</v>
      </c>
      <c r="C70" s="4" t="s">
        <v>70</v>
      </c>
      <c r="D70" s="4" t="s">
        <v>269</v>
      </c>
      <c r="E70" s="4" t="s">
        <v>270</v>
      </c>
      <c r="F70" s="4">
        <v>6300.0</v>
      </c>
      <c r="G70" s="3" t="s">
        <v>36</v>
      </c>
      <c r="H70" s="3" t="s">
        <v>249</v>
      </c>
      <c r="I70" s="4" t="s">
        <v>282</v>
      </c>
      <c r="J70" s="4" t="s">
        <v>20</v>
      </c>
      <c r="L70" s="4" t="s">
        <v>283</v>
      </c>
      <c r="U70" s="4">
        <v>11.0</v>
      </c>
    </row>
    <row r="71">
      <c r="A71" s="3" t="s">
        <v>284</v>
      </c>
      <c r="B71" s="4" t="s">
        <v>246</v>
      </c>
      <c r="C71" s="4" t="s">
        <v>73</v>
      </c>
      <c r="D71" s="4" t="s">
        <v>269</v>
      </c>
      <c r="E71" s="4" t="s">
        <v>270</v>
      </c>
      <c r="F71" s="4">
        <v>6500.0</v>
      </c>
      <c r="G71" s="3" t="s">
        <v>36</v>
      </c>
      <c r="H71" s="3" t="s">
        <v>249</v>
      </c>
      <c r="I71" s="4" t="s">
        <v>285</v>
      </c>
      <c r="J71" s="4" t="s">
        <v>20</v>
      </c>
      <c r="L71" s="4" t="s">
        <v>286</v>
      </c>
      <c r="U71" s="4">
        <v>11.0</v>
      </c>
    </row>
    <row r="72">
      <c r="A72" s="1" t="s">
        <v>287</v>
      </c>
      <c r="B72" s="4" t="s">
        <v>246</v>
      </c>
      <c r="C72" s="4" t="s">
        <v>77</v>
      </c>
      <c r="D72" s="4" t="s">
        <v>265</v>
      </c>
      <c r="E72" s="4" t="s">
        <v>266</v>
      </c>
      <c r="F72" s="4">
        <v>5600.0</v>
      </c>
      <c r="G72" s="3" t="s">
        <v>288</v>
      </c>
      <c r="H72" s="3" t="s">
        <v>249</v>
      </c>
      <c r="I72" s="4" t="s">
        <v>19</v>
      </c>
      <c r="J72" s="4" t="s">
        <v>20</v>
      </c>
      <c r="L72" s="4" t="s">
        <v>289</v>
      </c>
      <c r="U72" s="4">
        <v>11.0</v>
      </c>
    </row>
    <row r="73">
      <c r="A73" s="1" t="s">
        <v>290</v>
      </c>
      <c r="B73" s="4" t="s">
        <v>246</v>
      </c>
      <c r="C73" s="4" t="s">
        <v>82</v>
      </c>
      <c r="D73" s="4" t="s">
        <v>269</v>
      </c>
      <c r="E73" s="4" t="s">
        <v>270</v>
      </c>
      <c r="F73" s="4">
        <v>6200.0</v>
      </c>
      <c r="G73" s="3" t="s">
        <v>288</v>
      </c>
      <c r="H73" s="3" t="s">
        <v>249</v>
      </c>
      <c r="I73" s="4" t="s">
        <v>19</v>
      </c>
      <c r="J73" s="4" t="s">
        <v>20</v>
      </c>
      <c r="L73" s="2" t="s">
        <v>291</v>
      </c>
      <c r="U73" s="4">
        <v>11.0</v>
      </c>
      <c r="W73" s="4" t="s">
        <v>215</v>
      </c>
    </row>
    <row r="74">
      <c r="A74" s="3" t="s">
        <v>292</v>
      </c>
      <c r="B74" s="4" t="s">
        <v>246</v>
      </c>
      <c r="C74" s="4" t="s">
        <v>85</v>
      </c>
      <c r="D74" s="4" t="s">
        <v>293</v>
      </c>
      <c r="E74" s="4" t="s">
        <v>294</v>
      </c>
      <c r="F74" s="4">
        <v>6000.0</v>
      </c>
      <c r="G74" s="3" t="s">
        <v>288</v>
      </c>
      <c r="H74" s="3" t="s">
        <v>249</v>
      </c>
      <c r="I74" s="4" t="s">
        <v>100</v>
      </c>
      <c r="J74" s="4" t="s">
        <v>20</v>
      </c>
      <c r="L74" s="4" t="s">
        <v>295</v>
      </c>
      <c r="U74" s="4">
        <v>11.0</v>
      </c>
    </row>
    <row r="75">
      <c r="A75" s="3" t="s">
        <v>296</v>
      </c>
      <c r="B75" s="4" t="s">
        <v>246</v>
      </c>
      <c r="C75" s="4" t="s">
        <v>90</v>
      </c>
      <c r="D75" s="4" t="s">
        <v>297</v>
      </c>
      <c r="E75" s="4" t="s">
        <v>298</v>
      </c>
      <c r="F75" s="4">
        <v>6200.0</v>
      </c>
      <c r="G75" s="3" t="s">
        <v>288</v>
      </c>
      <c r="H75" s="3" t="s">
        <v>249</v>
      </c>
      <c r="I75" s="4" t="s">
        <v>60</v>
      </c>
      <c r="J75" s="4" t="s">
        <v>20</v>
      </c>
      <c r="U75" s="4">
        <v>11.0</v>
      </c>
    </row>
    <row r="76">
      <c r="A76" s="3" t="s">
        <v>299</v>
      </c>
      <c r="B76" s="4" t="s">
        <v>246</v>
      </c>
      <c r="C76" s="4" t="s">
        <v>93</v>
      </c>
      <c r="D76" s="4" t="s">
        <v>300</v>
      </c>
      <c r="E76" s="4" t="s">
        <v>301</v>
      </c>
      <c r="F76" s="4">
        <v>6500.0</v>
      </c>
      <c r="G76" s="3" t="s">
        <v>288</v>
      </c>
      <c r="H76" s="3" t="s">
        <v>249</v>
      </c>
      <c r="I76" s="4" t="s">
        <v>19</v>
      </c>
      <c r="J76" s="4" t="s">
        <v>20</v>
      </c>
      <c r="L76" s="4" t="s">
        <v>302</v>
      </c>
      <c r="U76" s="4">
        <v>11.0</v>
      </c>
    </row>
    <row r="77">
      <c r="A77" s="3" t="s">
        <v>303</v>
      </c>
      <c r="B77" s="4" t="s">
        <v>246</v>
      </c>
      <c r="C77" s="4" t="s">
        <v>98</v>
      </c>
      <c r="D77" s="4" t="s">
        <v>265</v>
      </c>
      <c r="E77" s="4" t="s">
        <v>266</v>
      </c>
      <c r="F77" s="4">
        <v>5800.0</v>
      </c>
      <c r="G77" s="3" t="s">
        <v>304</v>
      </c>
      <c r="H77" s="3" t="s">
        <v>249</v>
      </c>
      <c r="I77" s="4" t="s">
        <v>60</v>
      </c>
      <c r="J77" s="4" t="s">
        <v>20</v>
      </c>
      <c r="L77" s="4" t="s">
        <v>305</v>
      </c>
      <c r="U77" s="4">
        <v>11.0</v>
      </c>
      <c r="W77" s="4" t="s">
        <v>80</v>
      </c>
    </row>
    <row r="78">
      <c r="A78" s="3" t="s">
        <v>306</v>
      </c>
      <c r="B78" s="4" t="s">
        <v>246</v>
      </c>
      <c r="C78" s="4" t="s">
        <v>103</v>
      </c>
      <c r="D78" s="4" t="s">
        <v>307</v>
      </c>
      <c r="E78" s="4" t="s">
        <v>308</v>
      </c>
      <c r="F78" s="4">
        <v>6900.0</v>
      </c>
      <c r="G78" s="3" t="s">
        <v>304</v>
      </c>
      <c r="H78" s="3" t="s">
        <v>249</v>
      </c>
      <c r="I78" s="4" t="s">
        <v>100</v>
      </c>
      <c r="J78" s="4" t="s">
        <v>20</v>
      </c>
      <c r="L78" s="4" t="s">
        <v>309</v>
      </c>
      <c r="U78" s="4">
        <v>11.0</v>
      </c>
    </row>
    <row r="79">
      <c r="A79" s="3" t="s">
        <v>310</v>
      </c>
      <c r="B79" s="4" t="s">
        <v>246</v>
      </c>
      <c r="C79" s="4" t="s">
        <v>106</v>
      </c>
      <c r="D79" s="4" t="s">
        <v>311</v>
      </c>
      <c r="E79" s="4" t="s">
        <v>312</v>
      </c>
      <c r="F79" s="4">
        <v>5700.0</v>
      </c>
      <c r="G79" s="3" t="s">
        <v>313</v>
      </c>
      <c r="H79" s="3" t="s">
        <v>249</v>
      </c>
      <c r="I79" s="4" t="s">
        <v>67</v>
      </c>
      <c r="J79" s="4" t="s">
        <v>20</v>
      </c>
      <c r="U79" s="4">
        <v>11.0</v>
      </c>
    </row>
    <row r="80">
      <c r="A80" s="3" t="s">
        <v>314</v>
      </c>
      <c r="B80" s="4" t="s">
        <v>246</v>
      </c>
      <c r="C80" s="4" t="s">
        <v>110</v>
      </c>
      <c r="D80" s="4" t="s">
        <v>311</v>
      </c>
      <c r="E80" s="4" t="s">
        <v>312</v>
      </c>
      <c r="F80" s="4">
        <v>5700.0</v>
      </c>
      <c r="G80" s="3" t="s">
        <v>313</v>
      </c>
      <c r="H80" s="3" t="s">
        <v>249</v>
      </c>
      <c r="I80" s="4" t="s">
        <v>315</v>
      </c>
      <c r="J80" s="4" t="s">
        <v>20</v>
      </c>
      <c r="U80" s="4">
        <v>11.0</v>
      </c>
    </row>
    <row r="81">
      <c r="A81" s="3" t="s">
        <v>316</v>
      </c>
      <c r="B81" s="4" t="s">
        <v>246</v>
      </c>
      <c r="C81" s="4" t="s">
        <v>113</v>
      </c>
      <c r="D81" s="4" t="s">
        <v>311</v>
      </c>
      <c r="E81" s="4" t="s">
        <v>312</v>
      </c>
      <c r="F81" s="4">
        <v>5700.0</v>
      </c>
      <c r="G81" s="3" t="s">
        <v>313</v>
      </c>
      <c r="H81" s="3" t="s">
        <v>249</v>
      </c>
      <c r="I81" s="4" t="s">
        <v>317</v>
      </c>
      <c r="J81" s="4" t="s">
        <v>20</v>
      </c>
      <c r="U81" s="4">
        <v>11.0</v>
      </c>
    </row>
    <row r="82">
      <c r="A82" s="3" t="s">
        <v>318</v>
      </c>
      <c r="B82" s="4" t="s">
        <v>246</v>
      </c>
      <c r="C82" s="4" t="s">
        <v>117</v>
      </c>
      <c r="D82" s="4" t="s">
        <v>311</v>
      </c>
      <c r="E82" s="4" t="s">
        <v>312</v>
      </c>
      <c r="F82" s="4">
        <v>5700.0</v>
      </c>
      <c r="G82" s="3" t="s">
        <v>313</v>
      </c>
      <c r="H82" s="3" t="s">
        <v>249</v>
      </c>
      <c r="I82" s="4" t="s">
        <v>114</v>
      </c>
      <c r="J82" s="4" t="s">
        <v>20</v>
      </c>
      <c r="U82" s="4">
        <v>11.0</v>
      </c>
    </row>
    <row r="83">
      <c r="A83" s="3" t="s">
        <v>319</v>
      </c>
      <c r="B83" s="4" t="s">
        <v>246</v>
      </c>
      <c r="C83" s="4" t="s">
        <v>120</v>
      </c>
      <c r="D83" s="4" t="s">
        <v>311</v>
      </c>
      <c r="E83" s="4" t="s">
        <v>312</v>
      </c>
      <c r="F83" s="4">
        <v>5800.0</v>
      </c>
      <c r="G83" s="3" t="s">
        <v>313</v>
      </c>
      <c r="H83" s="3" t="s">
        <v>249</v>
      </c>
      <c r="I83" s="4" t="s">
        <v>60</v>
      </c>
      <c r="J83" s="4" t="s">
        <v>20</v>
      </c>
      <c r="U83" s="4">
        <v>11.0</v>
      </c>
    </row>
    <row r="84">
      <c r="A84" s="3" t="s">
        <v>320</v>
      </c>
      <c r="B84" s="4" t="s">
        <v>246</v>
      </c>
      <c r="C84" s="4" t="s">
        <v>125</v>
      </c>
      <c r="D84" s="4" t="s">
        <v>311</v>
      </c>
      <c r="E84" s="4" t="s">
        <v>312</v>
      </c>
      <c r="F84" s="4">
        <v>5700.0</v>
      </c>
      <c r="G84" s="3" t="s">
        <v>313</v>
      </c>
      <c r="H84" s="3" t="s">
        <v>249</v>
      </c>
      <c r="I84" s="4" t="s">
        <v>78</v>
      </c>
      <c r="J84" s="4" t="s">
        <v>20</v>
      </c>
      <c r="U84" s="4">
        <v>11.0</v>
      </c>
    </row>
    <row r="85">
      <c r="A85" s="3" t="s">
        <v>321</v>
      </c>
      <c r="B85" s="4" t="s">
        <v>246</v>
      </c>
      <c r="C85" s="4" t="s">
        <v>129</v>
      </c>
      <c r="D85" s="4" t="s">
        <v>322</v>
      </c>
      <c r="E85" s="4" t="s">
        <v>25</v>
      </c>
      <c r="F85" s="4">
        <v>6000.0</v>
      </c>
      <c r="G85" s="3" t="s">
        <v>313</v>
      </c>
      <c r="H85" s="3" t="s">
        <v>249</v>
      </c>
      <c r="I85" s="4" t="s">
        <v>100</v>
      </c>
      <c r="J85" s="4" t="s">
        <v>20</v>
      </c>
      <c r="L85" s="4" t="s">
        <v>323</v>
      </c>
      <c r="U85" s="4">
        <v>11.0</v>
      </c>
    </row>
    <row r="86">
      <c r="A86" s="3" t="s">
        <v>324</v>
      </c>
      <c r="B86" s="4" t="s">
        <v>246</v>
      </c>
      <c r="C86" s="4" t="s">
        <v>133</v>
      </c>
      <c r="D86" s="4" t="s">
        <v>322</v>
      </c>
      <c r="E86" s="4" t="s">
        <v>25</v>
      </c>
      <c r="F86" s="4">
        <v>6000.0</v>
      </c>
      <c r="G86" s="3" t="s">
        <v>313</v>
      </c>
      <c r="H86" s="3" t="s">
        <v>249</v>
      </c>
      <c r="I86" s="4" t="s">
        <v>60</v>
      </c>
      <c r="J86" s="4" t="s">
        <v>20</v>
      </c>
      <c r="L86" s="4" t="s">
        <v>325</v>
      </c>
      <c r="U86" s="4">
        <v>11.0</v>
      </c>
    </row>
    <row r="87">
      <c r="A87" s="3" t="s">
        <v>326</v>
      </c>
      <c r="B87" s="4" t="s">
        <v>246</v>
      </c>
      <c r="C87" s="4" t="s">
        <v>137</v>
      </c>
      <c r="D87" s="4" t="s">
        <v>322</v>
      </c>
      <c r="E87" s="4" t="s">
        <v>25</v>
      </c>
      <c r="F87" s="4">
        <v>6100.0</v>
      </c>
      <c r="G87" s="3" t="s">
        <v>313</v>
      </c>
      <c r="H87" s="3" t="s">
        <v>249</v>
      </c>
      <c r="I87" s="4" t="s">
        <v>67</v>
      </c>
      <c r="J87" s="4" t="s">
        <v>20</v>
      </c>
      <c r="U87" s="4">
        <v>11.0</v>
      </c>
    </row>
    <row r="88">
      <c r="A88" s="3" t="s">
        <v>327</v>
      </c>
      <c r="B88" s="4" t="s">
        <v>246</v>
      </c>
      <c r="C88" s="4" t="s">
        <v>140</v>
      </c>
      <c r="D88" s="4" t="s">
        <v>322</v>
      </c>
      <c r="E88" s="4" t="s">
        <v>25</v>
      </c>
      <c r="F88" s="4">
        <v>6000.0</v>
      </c>
      <c r="G88" s="3" t="s">
        <v>313</v>
      </c>
      <c r="H88" s="3" t="s">
        <v>249</v>
      </c>
      <c r="I88" s="4" t="s">
        <v>114</v>
      </c>
      <c r="J88" s="4" t="s">
        <v>20</v>
      </c>
      <c r="U88" s="4">
        <v>11.0</v>
      </c>
    </row>
    <row r="89">
      <c r="A89" s="3" t="s">
        <v>328</v>
      </c>
      <c r="B89" s="4" t="s">
        <v>246</v>
      </c>
      <c r="C89" s="4" t="s">
        <v>146</v>
      </c>
      <c r="D89" s="4" t="s">
        <v>322</v>
      </c>
      <c r="E89" s="4" t="s">
        <v>25</v>
      </c>
      <c r="F89" s="4">
        <v>6100.0</v>
      </c>
      <c r="G89" s="3" t="s">
        <v>313</v>
      </c>
      <c r="H89" s="3" t="s">
        <v>249</v>
      </c>
      <c r="I89" s="4" t="s">
        <v>78</v>
      </c>
      <c r="J89" s="4" t="s">
        <v>20</v>
      </c>
      <c r="L89" s="4" t="s">
        <v>329</v>
      </c>
      <c r="U89" s="4">
        <v>11.0</v>
      </c>
    </row>
    <row r="90">
      <c r="A90" s="3" t="s">
        <v>330</v>
      </c>
      <c r="B90" s="4" t="s">
        <v>246</v>
      </c>
      <c r="C90" s="4" t="s">
        <v>150</v>
      </c>
      <c r="D90" s="4" t="s">
        <v>322</v>
      </c>
      <c r="E90" s="4" t="s">
        <v>25</v>
      </c>
      <c r="F90" s="4">
        <v>6000.0</v>
      </c>
      <c r="G90" s="3" t="s">
        <v>313</v>
      </c>
      <c r="H90" s="3" t="s">
        <v>249</v>
      </c>
      <c r="I90" s="4" t="s">
        <v>331</v>
      </c>
      <c r="J90" s="4" t="s">
        <v>20</v>
      </c>
      <c r="L90" s="4" t="s">
        <v>332</v>
      </c>
      <c r="U90" s="4">
        <v>11.0</v>
      </c>
    </row>
    <row r="91">
      <c r="A91" s="3" t="s">
        <v>333</v>
      </c>
      <c r="B91" s="4" t="s">
        <v>246</v>
      </c>
      <c r="C91" s="4" t="s">
        <v>154</v>
      </c>
      <c r="D91" s="4" t="s">
        <v>322</v>
      </c>
      <c r="E91" s="4" t="s">
        <v>25</v>
      </c>
      <c r="F91" s="4">
        <v>6000.0</v>
      </c>
      <c r="G91" s="3" t="s">
        <v>313</v>
      </c>
      <c r="H91" s="3" t="s">
        <v>249</v>
      </c>
      <c r="I91" s="4" t="s">
        <v>334</v>
      </c>
      <c r="J91" s="4" t="s">
        <v>20</v>
      </c>
      <c r="L91" s="4" t="s">
        <v>335</v>
      </c>
      <c r="U91" s="4">
        <v>11.0</v>
      </c>
    </row>
    <row r="92">
      <c r="A92" s="3" t="s">
        <v>336</v>
      </c>
      <c r="B92" s="4" t="s">
        <v>246</v>
      </c>
      <c r="C92" s="4" t="s">
        <v>159</v>
      </c>
      <c r="D92" s="4" t="s">
        <v>337</v>
      </c>
      <c r="E92" s="4" t="s">
        <v>338</v>
      </c>
      <c r="F92" s="4">
        <v>6400.0</v>
      </c>
      <c r="G92" s="3" t="s">
        <v>166</v>
      </c>
      <c r="H92" s="3" t="s">
        <v>249</v>
      </c>
      <c r="I92" s="4" t="s">
        <v>19</v>
      </c>
      <c r="J92" s="4" t="s">
        <v>20</v>
      </c>
      <c r="L92" s="4" t="s">
        <v>339</v>
      </c>
      <c r="U92" s="4">
        <v>11.0</v>
      </c>
    </row>
    <row r="93">
      <c r="A93" s="3" t="s">
        <v>340</v>
      </c>
      <c r="B93" s="4" t="s">
        <v>246</v>
      </c>
      <c r="C93" s="4" t="s">
        <v>163</v>
      </c>
      <c r="D93" s="4" t="s">
        <v>337</v>
      </c>
      <c r="E93" s="4" t="s">
        <v>338</v>
      </c>
      <c r="F93" s="4">
        <v>6200.0</v>
      </c>
      <c r="G93" s="3" t="s">
        <v>341</v>
      </c>
      <c r="H93" s="3" t="s">
        <v>249</v>
      </c>
      <c r="I93" s="4" t="s">
        <v>100</v>
      </c>
      <c r="J93" s="4" t="s">
        <v>20</v>
      </c>
      <c r="L93" s="4" t="s">
        <v>342</v>
      </c>
      <c r="U93" s="4">
        <v>11.0</v>
      </c>
    </row>
    <row r="94">
      <c r="A94" s="3" t="s">
        <v>343</v>
      </c>
      <c r="G94" s="11"/>
      <c r="H94" s="11"/>
      <c r="L94" s="4" t="s">
        <v>344</v>
      </c>
      <c r="W94" s="4" t="s">
        <v>215</v>
      </c>
    </row>
    <row r="95">
      <c r="A95" s="3" t="s">
        <v>345</v>
      </c>
      <c r="B95" s="4" t="s">
        <v>246</v>
      </c>
      <c r="C95" s="4" t="s">
        <v>169</v>
      </c>
      <c r="D95" s="4" t="s">
        <v>346</v>
      </c>
      <c r="E95" s="4" t="s">
        <v>347</v>
      </c>
      <c r="F95" s="4">
        <v>7400.0</v>
      </c>
      <c r="G95" s="3" t="s">
        <v>348</v>
      </c>
      <c r="H95" s="3" t="s">
        <v>249</v>
      </c>
      <c r="I95" s="4" t="s">
        <v>19</v>
      </c>
      <c r="J95" s="4" t="s">
        <v>20</v>
      </c>
      <c r="L95" s="4" t="s">
        <v>349</v>
      </c>
      <c r="U95" s="4">
        <v>11.0</v>
      </c>
    </row>
    <row r="96">
      <c r="A96" s="3" t="s">
        <v>350</v>
      </c>
      <c r="B96" s="4" t="s">
        <v>246</v>
      </c>
      <c r="C96" s="4" t="s">
        <v>173</v>
      </c>
      <c r="D96" s="4" t="s">
        <v>346</v>
      </c>
      <c r="E96" s="4" t="s">
        <v>347</v>
      </c>
      <c r="F96" s="4">
        <v>7400.0</v>
      </c>
      <c r="G96" s="3" t="s">
        <v>351</v>
      </c>
      <c r="H96" s="3" t="s">
        <v>249</v>
      </c>
      <c r="I96" s="4" t="s">
        <v>100</v>
      </c>
      <c r="J96" s="4" t="s">
        <v>20</v>
      </c>
      <c r="L96" s="4" t="s">
        <v>352</v>
      </c>
      <c r="U96" s="4">
        <v>11.0</v>
      </c>
    </row>
    <row r="97">
      <c r="A97" s="3" t="s">
        <v>353</v>
      </c>
      <c r="B97" s="4" t="s">
        <v>246</v>
      </c>
      <c r="C97" s="4" t="s">
        <v>177</v>
      </c>
      <c r="D97" s="4" t="s">
        <v>322</v>
      </c>
      <c r="E97" s="4" t="s">
        <v>25</v>
      </c>
      <c r="F97" s="4">
        <v>7400.0</v>
      </c>
      <c r="G97" s="3" t="s">
        <v>354</v>
      </c>
      <c r="H97" s="3" t="s">
        <v>249</v>
      </c>
      <c r="I97" s="4" t="s">
        <v>19</v>
      </c>
      <c r="J97" s="4" t="s">
        <v>20</v>
      </c>
      <c r="L97" s="4" t="s">
        <v>355</v>
      </c>
      <c r="U97" s="4">
        <v>11.0</v>
      </c>
    </row>
    <row r="98">
      <c r="A98" s="3" t="s">
        <v>356</v>
      </c>
      <c r="B98" s="4" t="s">
        <v>246</v>
      </c>
      <c r="C98" s="4" t="s">
        <v>180</v>
      </c>
      <c r="D98" s="4" t="s">
        <v>357</v>
      </c>
      <c r="E98" s="4" t="s">
        <v>358</v>
      </c>
      <c r="F98" s="4">
        <v>7400.0</v>
      </c>
      <c r="G98" s="3" t="s">
        <v>351</v>
      </c>
      <c r="H98" s="3" t="s">
        <v>249</v>
      </c>
      <c r="I98" s="4" t="s">
        <v>100</v>
      </c>
      <c r="J98" s="4" t="s">
        <v>20</v>
      </c>
      <c r="L98" s="4" t="s">
        <v>359</v>
      </c>
      <c r="U98" s="4">
        <v>11.0</v>
      </c>
    </row>
    <row r="99">
      <c r="A99" s="3" t="s">
        <v>360</v>
      </c>
      <c r="B99" s="4" t="s">
        <v>246</v>
      </c>
      <c r="C99" s="4" t="s">
        <v>183</v>
      </c>
      <c r="D99" s="4" t="s">
        <v>269</v>
      </c>
      <c r="E99" s="4" t="s">
        <v>301</v>
      </c>
      <c r="F99" s="4">
        <v>6500.0</v>
      </c>
      <c r="G99" s="3" t="s">
        <v>288</v>
      </c>
      <c r="H99" s="3" t="s">
        <v>249</v>
      </c>
      <c r="I99" s="4" t="s">
        <v>361</v>
      </c>
      <c r="J99" s="4" t="s">
        <v>20</v>
      </c>
      <c r="L99" s="4" t="s">
        <v>362</v>
      </c>
      <c r="U99" s="4">
        <v>11.0</v>
      </c>
    </row>
    <row r="100">
      <c r="A100" s="3" t="s">
        <v>363</v>
      </c>
      <c r="B100" s="4" t="s">
        <v>246</v>
      </c>
      <c r="C100" s="4" t="s">
        <v>185</v>
      </c>
      <c r="D100" s="4" t="s">
        <v>269</v>
      </c>
      <c r="E100" s="4" t="s">
        <v>301</v>
      </c>
      <c r="F100" s="4">
        <v>6500.0</v>
      </c>
      <c r="G100" s="3" t="s">
        <v>288</v>
      </c>
      <c r="H100" s="3" t="s">
        <v>249</v>
      </c>
      <c r="I100" s="4" t="s">
        <v>361</v>
      </c>
      <c r="J100" s="4" t="s">
        <v>20</v>
      </c>
      <c r="L100" s="4" t="s">
        <v>364</v>
      </c>
      <c r="U100" s="4">
        <v>11.0</v>
      </c>
    </row>
    <row r="101">
      <c r="A101" s="3" t="s">
        <v>365</v>
      </c>
      <c r="B101" s="4" t="s">
        <v>246</v>
      </c>
      <c r="C101" s="4" t="s">
        <v>187</v>
      </c>
      <c r="D101" s="4" t="s">
        <v>269</v>
      </c>
      <c r="E101" s="4" t="s">
        <v>301</v>
      </c>
      <c r="F101" s="4">
        <v>6500.0</v>
      </c>
      <c r="G101" s="3" t="s">
        <v>288</v>
      </c>
      <c r="H101" s="3" t="s">
        <v>249</v>
      </c>
      <c r="I101" s="4" t="s">
        <v>361</v>
      </c>
      <c r="J101" s="4" t="s">
        <v>20</v>
      </c>
      <c r="L101" s="4" t="s">
        <v>366</v>
      </c>
      <c r="U101" s="4">
        <v>11.0</v>
      </c>
    </row>
    <row r="102">
      <c r="A102" s="3" t="s">
        <v>367</v>
      </c>
      <c r="B102" s="4" t="s">
        <v>13</v>
      </c>
      <c r="C102" s="4" t="s">
        <v>368</v>
      </c>
      <c r="D102" s="4" t="s">
        <v>369</v>
      </c>
      <c r="E102" s="4" t="s">
        <v>370</v>
      </c>
      <c r="F102" s="4">
        <v>5200.0</v>
      </c>
      <c r="G102" s="3" t="s">
        <v>36</v>
      </c>
      <c r="H102" s="3" t="s">
        <v>249</v>
      </c>
      <c r="I102" s="4" t="s">
        <v>19</v>
      </c>
      <c r="L102" s="4" t="s">
        <v>371</v>
      </c>
      <c r="U102" s="4">
        <v>11.0</v>
      </c>
    </row>
    <row r="103">
      <c r="A103" s="3" t="s">
        <v>372</v>
      </c>
      <c r="B103" s="4" t="s">
        <v>13</v>
      </c>
      <c r="C103" s="4" t="s">
        <v>373</v>
      </c>
      <c r="D103" s="4" t="s">
        <v>369</v>
      </c>
      <c r="E103" s="4" t="s">
        <v>370</v>
      </c>
      <c r="F103" s="4">
        <v>5000.0</v>
      </c>
      <c r="G103" s="3" t="s">
        <v>36</v>
      </c>
      <c r="H103" s="3" t="s">
        <v>249</v>
      </c>
      <c r="I103" s="4" t="s">
        <v>374</v>
      </c>
      <c r="L103" s="4" t="s">
        <v>375</v>
      </c>
      <c r="U103" s="4">
        <v>11.0</v>
      </c>
    </row>
    <row r="104">
      <c r="A104" s="3" t="s">
        <v>376</v>
      </c>
      <c r="B104" s="4" t="s">
        <v>13</v>
      </c>
      <c r="C104" s="4" t="s">
        <v>377</v>
      </c>
      <c r="D104" s="4" t="s">
        <v>369</v>
      </c>
      <c r="E104" s="4" t="s">
        <v>370</v>
      </c>
      <c r="F104" s="4">
        <v>4900.0</v>
      </c>
      <c r="G104" s="3" t="s">
        <v>36</v>
      </c>
      <c r="H104" s="3" t="s">
        <v>249</v>
      </c>
      <c r="I104" s="4" t="s">
        <v>378</v>
      </c>
      <c r="L104" s="4" t="s">
        <v>379</v>
      </c>
      <c r="U104" s="4">
        <v>11.0</v>
      </c>
    </row>
    <row r="105">
      <c r="A105" s="3" t="s">
        <v>380</v>
      </c>
      <c r="B105" s="4" t="s">
        <v>13</v>
      </c>
      <c r="C105" s="4" t="s">
        <v>381</v>
      </c>
      <c r="D105" s="4" t="s">
        <v>369</v>
      </c>
      <c r="E105" s="4" t="s">
        <v>370</v>
      </c>
      <c r="F105" s="4">
        <v>4800.0</v>
      </c>
      <c r="G105" s="3" t="s">
        <v>36</v>
      </c>
      <c r="H105" s="3" t="s">
        <v>249</v>
      </c>
      <c r="I105" s="4" t="s">
        <v>382</v>
      </c>
      <c r="L105" s="4" t="s">
        <v>383</v>
      </c>
      <c r="U105" s="4">
        <v>11.0</v>
      </c>
    </row>
    <row r="106">
      <c r="A106" s="3" t="s">
        <v>384</v>
      </c>
      <c r="B106" s="4" t="s">
        <v>13</v>
      </c>
      <c r="C106" s="4" t="s">
        <v>385</v>
      </c>
      <c r="D106" s="4" t="s">
        <v>369</v>
      </c>
      <c r="E106" s="4" t="s">
        <v>370</v>
      </c>
      <c r="F106" s="4">
        <v>4900.0</v>
      </c>
      <c r="G106" s="3" t="s">
        <v>36</v>
      </c>
      <c r="H106" s="3" t="s">
        <v>249</v>
      </c>
      <c r="I106" s="4" t="s">
        <v>382</v>
      </c>
      <c r="L106" s="4" t="s">
        <v>386</v>
      </c>
      <c r="U106" s="4">
        <v>11.0</v>
      </c>
    </row>
    <row r="107">
      <c r="A107" s="3" t="s">
        <v>387</v>
      </c>
      <c r="B107" s="4" t="s">
        <v>246</v>
      </c>
      <c r="C107" s="4" t="s">
        <v>189</v>
      </c>
      <c r="D107" s="4" t="s">
        <v>388</v>
      </c>
      <c r="E107" s="4" t="s">
        <v>389</v>
      </c>
      <c r="F107" s="4">
        <v>7400.0</v>
      </c>
      <c r="G107" s="3" t="s">
        <v>94</v>
      </c>
      <c r="H107" s="3" t="s">
        <v>232</v>
      </c>
      <c r="I107" s="4" t="s">
        <v>19</v>
      </c>
      <c r="J107" s="4" t="s">
        <v>20</v>
      </c>
      <c r="L107" s="4" t="s">
        <v>390</v>
      </c>
      <c r="U107" s="4">
        <v>11.0</v>
      </c>
    </row>
    <row r="108">
      <c r="A108" s="3" t="s">
        <v>391</v>
      </c>
      <c r="B108" s="4" t="s">
        <v>246</v>
      </c>
      <c r="C108" s="4" t="s">
        <v>193</v>
      </c>
      <c r="D108" s="4" t="s">
        <v>346</v>
      </c>
      <c r="E108" s="4" t="s">
        <v>347</v>
      </c>
      <c r="F108" s="4">
        <v>7050.0</v>
      </c>
      <c r="G108" s="3" t="s">
        <v>392</v>
      </c>
      <c r="H108" s="3" t="s">
        <v>249</v>
      </c>
      <c r="I108" s="4" t="s">
        <v>100</v>
      </c>
      <c r="J108" s="4" t="s">
        <v>20</v>
      </c>
      <c r="L108" s="4" t="s">
        <v>393</v>
      </c>
      <c r="U108" s="4">
        <v>11.0</v>
      </c>
    </row>
    <row r="109">
      <c r="A109" s="3" t="s">
        <v>394</v>
      </c>
      <c r="B109" s="4" t="s">
        <v>246</v>
      </c>
      <c r="C109" s="4" t="s">
        <v>196</v>
      </c>
      <c r="D109" s="4" t="s">
        <v>388</v>
      </c>
      <c r="E109" s="4" t="s">
        <v>389</v>
      </c>
      <c r="F109" s="4">
        <v>6600.0</v>
      </c>
      <c r="G109" s="3" t="s">
        <v>395</v>
      </c>
      <c r="H109" s="3" t="s">
        <v>249</v>
      </c>
      <c r="I109" s="4" t="s">
        <v>19</v>
      </c>
      <c r="J109" s="4" t="s">
        <v>20</v>
      </c>
      <c r="L109" s="4" t="s">
        <v>396</v>
      </c>
      <c r="U109" s="4">
        <v>11.0</v>
      </c>
    </row>
    <row r="110">
      <c r="A110" s="3" t="s">
        <v>397</v>
      </c>
      <c r="B110" s="4" t="s">
        <v>246</v>
      </c>
      <c r="C110" s="4" t="s">
        <v>199</v>
      </c>
      <c r="D110" s="4" t="s">
        <v>388</v>
      </c>
      <c r="E110" s="4" t="s">
        <v>389</v>
      </c>
      <c r="F110" s="4">
        <v>6700.0</v>
      </c>
      <c r="G110" s="3" t="s">
        <v>398</v>
      </c>
      <c r="H110" s="3" t="s">
        <v>249</v>
      </c>
      <c r="I110" s="4" t="s">
        <v>399</v>
      </c>
      <c r="J110" s="4" t="s">
        <v>20</v>
      </c>
      <c r="L110" s="4" t="s">
        <v>400</v>
      </c>
      <c r="U110" s="4">
        <v>11.0</v>
      </c>
    </row>
    <row r="111">
      <c r="A111" s="3" t="s">
        <v>401</v>
      </c>
      <c r="B111" s="4" t="s">
        <v>246</v>
      </c>
      <c r="C111" s="4" t="s">
        <v>202</v>
      </c>
      <c r="D111" s="4" t="s">
        <v>388</v>
      </c>
      <c r="E111" s="4" t="s">
        <v>389</v>
      </c>
      <c r="F111" s="4">
        <v>6700.0</v>
      </c>
      <c r="G111" s="3" t="s">
        <v>395</v>
      </c>
      <c r="H111" s="3" t="s">
        <v>249</v>
      </c>
      <c r="I111" s="4" t="s">
        <v>399</v>
      </c>
      <c r="J111" s="4" t="s">
        <v>20</v>
      </c>
      <c r="L111" s="4" t="s">
        <v>402</v>
      </c>
      <c r="U111" s="4">
        <v>11.0</v>
      </c>
    </row>
    <row r="112">
      <c r="A112" s="3" t="s">
        <v>403</v>
      </c>
      <c r="B112" s="4" t="s">
        <v>246</v>
      </c>
      <c r="C112" s="4" t="s">
        <v>204</v>
      </c>
      <c r="D112" s="4" t="s">
        <v>346</v>
      </c>
      <c r="E112" s="4" t="s">
        <v>347</v>
      </c>
      <c r="F112" s="4">
        <v>6700.0</v>
      </c>
      <c r="G112" s="3" t="s">
        <v>404</v>
      </c>
      <c r="H112" s="3" t="s">
        <v>249</v>
      </c>
      <c r="I112" s="4" t="s">
        <v>100</v>
      </c>
      <c r="J112" s="4" t="s">
        <v>20</v>
      </c>
      <c r="L112" s="4" t="s">
        <v>405</v>
      </c>
      <c r="U112" s="4">
        <v>11.0</v>
      </c>
    </row>
    <row r="113">
      <c r="A113" s="3" t="s">
        <v>406</v>
      </c>
      <c r="B113" s="4" t="s">
        <v>246</v>
      </c>
      <c r="C113" s="4" t="s">
        <v>208</v>
      </c>
      <c r="D113" s="4" t="s">
        <v>346</v>
      </c>
      <c r="E113" s="4" t="s">
        <v>347</v>
      </c>
      <c r="F113" s="4">
        <v>6700.0</v>
      </c>
      <c r="G113" s="3" t="s">
        <v>407</v>
      </c>
      <c r="H113" s="3" t="s">
        <v>249</v>
      </c>
      <c r="I113" s="4" t="s">
        <v>408</v>
      </c>
      <c r="J113" s="4" t="s">
        <v>20</v>
      </c>
      <c r="L113" s="4" t="s">
        <v>409</v>
      </c>
      <c r="U113" s="4">
        <v>11.0</v>
      </c>
    </row>
    <row r="114">
      <c r="A114" s="3" t="s">
        <v>410</v>
      </c>
      <c r="B114" s="4" t="s">
        <v>246</v>
      </c>
      <c r="C114" s="4" t="s">
        <v>210</v>
      </c>
      <c r="D114" s="4" t="s">
        <v>346</v>
      </c>
      <c r="E114" s="4" t="s">
        <v>347</v>
      </c>
      <c r="F114" s="4">
        <v>6700.0</v>
      </c>
      <c r="G114" s="3" t="s">
        <v>407</v>
      </c>
      <c r="H114" s="3" t="s">
        <v>249</v>
      </c>
      <c r="I114" s="4" t="s">
        <v>411</v>
      </c>
      <c r="J114" s="4" t="s">
        <v>20</v>
      </c>
      <c r="L114" s="4" t="s">
        <v>412</v>
      </c>
      <c r="U114" s="4">
        <v>11.0</v>
      </c>
    </row>
    <row r="115">
      <c r="A115" s="3" t="s">
        <v>413</v>
      </c>
      <c r="B115" s="4" t="s">
        <v>246</v>
      </c>
      <c r="C115" s="4" t="s">
        <v>217</v>
      </c>
      <c r="D115" s="4" t="s">
        <v>414</v>
      </c>
      <c r="E115" s="4" t="s">
        <v>415</v>
      </c>
      <c r="F115" s="4">
        <v>6700.0</v>
      </c>
      <c r="G115" s="3" t="s">
        <v>407</v>
      </c>
      <c r="H115" s="3" t="s">
        <v>249</v>
      </c>
      <c r="I115" s="4" t="s">
        <v>114</v>
      </c>
      <c r="J115" s="4" t="s">
        <v>20</v>
      </c>
      <c r="L115" s="4" t="s">
        <v>416</v>
      </c>
      <c r="U115" s="4">
        <v>11.0</v>
      </c>
    </row>
    <row r="116">
      <c r="A116" s="3" t="s">
        <v>417</v>
      </c>
      <c r="B116" s="4" t="s">
        <v>246</v>
      </c>
      <c r="C116" s="4" t="s">
        <v>222</v>
      </c>
      <c r="D116" s="4" t="s">
        <v>346</v>
      </c>
      <c r="E116" s="4" t="s">
        <v>347</v>
      </c>
      <c r="F116" s="4">
        <v>6700.0</v>
      </c>
      <c r="G116" s="3" t="s">
        <v>407</v>
      </c>
      <c r="H116" s="3" t="s">
        <v>249</v>
      </c>
      <c r="I116" s="4" t="s">
        <v>67</v>
      </c>
      <c r="J116" s="4" t="s">
        <v>20</v>
      </c>
      <c r="L116" s="4" t="s">
        <v>418</v>
      </c>
      <c r="U116" s="4">
        <v>11.0</v>
      </c>
    </row>
    <row r="117">
      <c r="A117" s="3" t="s">
        <v>419</v>
      </c>
      <c r="B117" s="4" t="s">
        <v>246</v>
      </c>
      <c r="C117" s="4" t="s">
        <v>224</v>
      </c>
      <c r="D117" s="4" t="s">
        <v>414</v>
      </c>
      <c r="E117" s="4" t="s">
        <v>415</v>
      </c>
      <c r="F117" s="4">
        <v>7450.0</v>
      </c>
      <c r="G117" s="3" t="s">
        <v>420</v>
      </c>
      <c r="H117" s="3" t="s">
        <v>249</v>
      </c>
      <c r="I117" s="4" t="s">
        <v>19</v>
      </c>
      <c r="J117" s="4" t="s">
        <v>20</v>
      </c>
      <c r="L117" s="4" t="s">
        <v>421</v>
      </c>
      <c r="U117" s="4">
        <v>11.0</v>
      </c>
    </row>
    <row r="118">
      <c r="A118" s="3" t="s">
        <v>422</v>
      </c>
      <c r="B118" s="4" t="s">
        <v>246</v>
      </c>
      <c r="C118" s="4" t="s">
        <v>226</v>
      </c>
      <c r="D118" s="4" t="s">
        <v>414</v>
      </c>
      <c r="E118" s="4" t="s">
        <v>415</v>
      </c>
      <c r="F118" s="4">
        <v>7450.0</v>
      </c>
      <c r="G118" s="3" t="s">
        <v>420</v>
      </c>
      <c r="H118" s="3" t="s">
        <v>249</v>
      </c>
      <c r="I118" s="4" t="s">
        <v>423</v>
      </c>
      <c r="J118" s="4" t="s">
        <v>20</v>
      </c>
      <c r="L118" s="4" t="s">
        <v>424</v>
      </c>
      <c r="U118" s="4">
        <v>11.0</v>
      </c>
    </row>
    <row r="119">
      <c r="A119" s="3" t="s">
        <v>425</v>
      </c>
      <c r="B119" s="4" t="s">
        <v>246</v>
      </c>
      <c r="C119" s="4" t="s">
        <v>231</v>
      </c>
      <c r="D119" s="4" t="s">
        <v>414</v>
      </c>
      <c r="E119" s="4" t="s">
        <v>415</v>
      </c>
      <c r="F119" s="4">
        <v>7450.0</v>
      </c>
      <c r="G119" s="3" t="s">
        <v>420</v>
      </c>
      <c r="H119" s="3" t="s">
        <v>249</v>
      </c>
      <c r="I119" s="4" t="s">
        <v>426</v>
      </c>
      <c r="J119" s="4" t="s">
        <v>20</v>
      </c>
      <c r="L119" s="4" t="s">
        <v>427</v>
      </c>
      <c r="U119" s="4">
        <v>11.0</v>
      </c>
    </row>
    <row r="120">
      <c r="A120" s="3" t="s">
        <v>428</v>
      </c>
      <c r="B120" s="4" t="s">
        <v>246</v>
      </c>
      <c r="C120" s="4" t="s">
        <v>235</v>
      </c>
      <c r="D120" s="4" t="s">
        <v>429</v>
      </c>
      <c r="E120" s="4" t="s">
        <v>430</v>
      </c>
      <c r="F120" s="4">
        <v>6100.0</v>
      </c>
      <c r="G120" s="3" t="s">
        <v>431</v>
      </c>
      <c r="H120" s="3" t="s">
        <v>249</v>
      </c>
      <c r="I120" s="4" t="s">
        <v>432</v>
      </c>
      <c r="J120" s="4" t="s">
        <v>254</v>
      </c>
      <c r="L120" s="4" t="s">
        <v>433</v>
      </c>
      <c r="U120" s="4">
        <v>11.0</v>
      </c>
    </row>
    <row r="121">
      <c r="A121" s="3" t="s">
        <v>434</v>
      </c>
      <c r="B121" s="4" t="s">
        <v>246</v>
      </c>
      <c r="C121" s="4" t="s">
        <v>239</v>
      </c>
      <c r="D121" s="4" t="s">
        <v>429</v>
      </c>
      <c r="E121" s="4" t="s">
        <v>430</v>
      </c>
      <c r="F121" s="4">
        <v>6000.0</v>
      </c>
      <c r="G121" s="3" t="s">
        <v>431</v>
      </c>
      <c r="H121" s="3" t="s">
        <v>249</v>
      </c>
      <c r="I121" s="4" t="s">
        <v>435</v>
      </c>
      <c r="J121" s="4" t="s">
        <v>20</v>
      </c>
      <c r="L121" s="4" t="s">
        <v>436</v>
      </c>
      <c r="U121" s="4">
        <v>11.0</v>
      </c>
      <c r="W121" s="4" t="s">
        <v>437</v>
      </c>
    </row>
    <row r="122">
      <c r="A122" s="3" t="s">
        <v>438</v>
      </c>
      <c r="B122" s="4" t="s">
        <v>13</v>
      </c>
      <c r="C122" s="4" t="s">
        <v>439</v>
      </c>
      <c r="D122" s="4" t="s">
        <v>369</v>
      </c>
      <c r="E122" s="4" t="s">
        <v>370</v>
      </c>
      <c r="F122" s="4">
        <v>5000.0</v>
      </c>
      <c r="G122" s="3" t="s">
        <v>267</v>
      </c>
      <c r="H122" s="3" t="s">
        <v>249</v>
      </c>
      <c r="I122" s="4" t="s">
        <v>440</v>
      </c>
      <c r="L122" s="4" t="s">
        <v>441</v>
      </c>
      <c r="U122" s="4">
        <v>11.0</v>
      </c>
    </row>
    <row r="123">
      <c r="A123" s="3" t="s">
        <v>442</v>
      </c>
      <c r="B123" s="4" t="s">
        <v>13</v>
      </c>
      <c r="C123" s="4" t="s">
        <v>443</v>
      </c>
      <c r="D123" s="4" t="s">
        <v>369</v>
      </c>
      <c r="E123" s="4" t="s">
        <v>370</v>
      </c>
      <c r="F123" s="4">
        <v>4900.0</v>
      </c>
      <c r="G123" s="3" t="s">
        <v>267</v>
      </c>
      <c r="H123" s="3" t="s">
        <v>249</v>
      </c>
      <c r="I123" s="4" t="s">
        <v>440</v>
      </c>
      <c r="L123" s="4" t="s">
        <v>444</v>
      </c>
      <c r="U123" s="4">
        <v>11.0</v>
      </c>
    </row>
    <row r="124">
      <c r="A124" s="3" t="s">
        <v>445</v>
      </c>
      <c r="B124" s="4" t="s">
        <v>13</v>
      </c>
      <c r="C124" s="4" t="s">
        <v>446</v>
      </c>
      <c r="D124" s="4" t="s">
        <v>369</v>
      </c>
      <c r="E124" s="4" t="s">
        <v>370</v>
      </c>
      <c r="F124" s="4">
        <v>4900.0</v>
      </c>
      <c r="G124" s="3" t="s">
        <v>267</v>
      </c>
      <c r="H124" s="3" t="s">
        <v>249</v>
      </c>
      <c r="I124" s="4" t="s">
        <v>440</v>
      </c>
      <c r="L124" s="4" t="s">
        <v>447</v>
      </c>
      <c r="U124" s="4">
        <v>11.0</v>
      </c>
    </row>
    <row r="125">
      <c r="A125" s="3" t="s">
        <v>448</v>
      </c>
      <c r="B125" s="4" t="s">
        <v>13</v>
      </c>
      <c r="C125" s="4" t="s">
        <v>449</v>
      </c>
      <c r="D125" s="4" t="s">
        <v>369</v>
      </c>
      <c r="E125" s="4" t="s">
        <v>370</v>
      </c>
      <c r="F125" s="4">
        <v>4900.0</v>
      </c>
      <c r="G125" s="3" t="s">
        <v>267</v>
      </c>
      <c r="H125" s="3" t="s">
        <v>249</v>
      </c>
      <c r="I125" s="4" t="s">
        <v>440</v>
      </c>
      <c r="L125" s="4" t="s">
        <v>450</v>
      </c>
      <c r="U125" s="4">
        <v>11.0</v>
      </c>
    </row>
    <row r="126">
      <c r="A126" s="3" t="s">
        <v>451</v>
      </c>
      <c r="B126" s="4" t="s">
        <v>13</v>
      </c>
      <c r="C126" s="4" t="s">
        <v>452</v>
      </c>
      <c r="D126" s="4" t="s">
        <v>369</v>
      </c>
      <c r="E126" s="4" t="s">
        <v>370</v>
      </c>
      <c r="F126" s="4">
        <v>4900.0</v>
      </c>
      <c r="G126" s="3" t="s">
        <v>267</v>
      </c>
      <c r="H126" s="3" t="s">
        <v>249</v>
      </c>
      <c r="I126" s="4" t="s">
        <v>440</v>
      </c>
      <c r="L126" s="4" t="s">
        <v>453</v>
      </c>
      <c r="U126" s="4">
        <v>11.0</v>
      </c>
    </row>
    <row r="127">
      <c r="A127" s="3" t="s">
        <v>454</v>
      </c>
      <c r="B127" s="4" t="s">
        <v>13</v>
      </c>
      <c r="C127" s="4" t="s">
        <v>455</v>
      </c>
      <c r="D127" s="4" t="s">
        <v>141</v>
      </c>
      <c r="E127" s="4" t="s">
        <v>142</v>
      </c>
      <c r="F127" s="4">
        <v>6100.0</v>
      </c>
      <c r="G127" s="3" t="s">
        <v>74</v>
      </c>
      <c r="H127" s="3" t="s">
        <v>249</v>
      </c>
      <c r="I127" s="4" t="s">
        <v>456</v>
      </c>
      <c r="J127" s="4" t="s">
        <v>20</v>
      </c>
      <c r="L127" s="4" t="s">
        <v>457</v>
      </c>
      <c r="U127" s="4">
        <v>11.0</v>
      </c>
    </row>
    <row r="128">
      <c r="A128" s="3" t="s">
        <v>458</v>
      </c>
      <c r="B128" s="4" t="s">
        <v>13</v>
      </c>
      <c r="C128" s="4" t="s">
        <v>459</v>
      </c>
      <c r="D128" s="4" t="s">
        <v>141</v>
      </c>
      <c r="E128" s="4" t="s">
        <v>142</v>
      </c>
      <c r="F128" s="4">
        <v>6100.0</v>
      </c>
      <c r="G128" s="3" t="s">
        <v>155</v>
      </c>
      <c r="H128" s="3" t="s">
        <v>249</v>
      </c>
      <c r="I128" s="4" t="s">
        <v>456</v>
      </c>
      <c r="J128" s="4" t="s">
        <v>20</v>
      </c>
      <c r="L128" s="4" t="s">
        <v>460</v>
      </c>
      <c r="U128" s="4">
        <v>11.0</v>
      </c>
    </row>
    <row r="129">
      <c r="A129" s="3" t="s">
        <v>461</v>
      </c>
      <c r="B129" s="4" t="s">
        <v>13</v>
      </c>
      <c r="C129" s="4" t="s">
        <v>462</v>
      </c>
      <c r="D129" s="4" t="s">
        <v>141</v>
      </c>
      <c r="E129" s="4" t="s">
        <v>142</v>
      </c>
      <c r="F129" s="4">
        <v>6100.0</v>
      </c>
      <c r="G129" s="3" t="s">
        <v>155</v>
      </c>
      <c r="H129" s="3" t="s">
        <v>249</v>
      </c>
      <c r="I129" s="4" t="s">
        <v>456</v>
      </c>
      <c r="J129" s="4" t="s">
        <v>20</v>
      </c>
      <c r="L129" s="4" t="s">
        <v>463</v>
      </c>
      <c r="U129" s="4">
        <v>11.0</v>
      </c>
    </row>
    <row r="130">
      <c r="A130" s="3" t="s">
        <v>464</v>
      </c>
      <c r="B130" s="4" t="s">
        <v>13</v>
      </c>
      <c r="C130" s="4" t="s">
        <v>465</v>
      </c>
      <c r="D130" s="4" t="s">
        <v>141</v>
      </c>
      <c r="E130" s="4" t="s">
        <v>142</v>
      </c>
      <c r="F130" s="4">
        <v>6100.0</v>
      </c>
      <c r="G130" s="3" t="s">
        <v>155</v>
      </c>
      <c r="H130" s="3" t="s">
        <v>249</v>
      </c>
      <c r="I130" s="4" t="s">
        <v>456</v>
      </c>
      <c r="J130" s="4" t="s">
        <v>20</v>
      </c>
      <c r="L130" s="4" t="s">
        <v>466</v>
      </c>
      <c r="U130" s="4">
        <v>11.0</v>
      </c>
    </row>
    <row r="131">
      <c r="A131" s="3" t="s">
        <v>467</v>
      </c>
      <c r="B131" s="4" t="s">
        <v>13</v>
      </c>
      <c r="C131" s="4" t="s">
        <v>468</v>
      </c>
      <c r="D131" s="4" t="s">
        <v>369</v>
      </c>
      <c r="E131" s="4" t="s">
        <v>370</v>
      </c>
      <c r="F131" s="4">
        <v>5000.0</v>
      </c>
      <c r="G131" s="3" t="s">
        <v>36</v>
      </c>
      <c r="H131" s="3" t="s">
        <v>249</v>
      </c>
      <c r="I131" s="4" t="s">
        <v>440</v>
      </c>
      <c r="L131" s="4" t="s">
        <v>469</v>
      </c>
      <c r="U131" s="4">
        <v>11.0</v>
      </c>
    </row>
    <row r="132">
      <c r="A132" s="3" t="s">
        <v>470</v>
      </c>
      <c r="B132" s="4" t="s">
        <v>13</v>
      </c>
      <c r="C132" s="4" t="s">
        <v>471</v>
      </c>
      <c r="D132" s="4" t="s">
        <v>141</v>
      </c>
      <c r="E132" s="4" t="s">
        <v>142</v>
      </c>
      <c r="F132" s="4">
        <v>6100.0</v>
      </c>
      <c r="G132" s="3" t="s">
        <v>74</v>
      </c>
      <c r="H132" s="3" t="s">
        <v>249</v>
      </c>
      <c r="I132" s="4" t="s">
        <v>456</v>
      </c>
      <c r="J132" s="4" t="s">
        <v>20</v>
      </c>
      <c r="L132" s="4" t="s">
        <v>472</v>
      </c>
      <c r="U132" s="4">
        <v>11.0</v>
      </c>
    </row>
    <row r="133">
      <c r="A133" s="3" t="s">
        <v>473</v>
      </c>
      <c r="B133" s="4" t="s">
        <v>13</v>
      </c>
      <c r="C133" s="4" t="s">
        <v>474</v>
      </c>
      <c r="D133" s="4" t="s">
        <v>141</v>
      </c>
      <c r="E133" s="4" t="s">
        <v>142</v>
      </c>
      <c r="F133" s="4">
        <v>6100.0</v>
      </c>
      <c r="G133" s="3" t="s">
        <v>74</v>
      </c>
      <c r="H133" s="3" t="s">
        <v>249</v>
      </c>
      <c r="I133" s="4" t="s">
        <v>456</v>
      </c>
      <c r="J133" s="4" t="s">
        <v>20</v>
      </c>
      <c r="L133" s="4" t="s">
        <v>472</v>
      </c>
      <c r="U133" s="4">
        <v>11.0</v>
      </c>
    </row>
    <row r="134">
      <c r="A134" s="3" t="s">
        <v>475</v>
      </c>
      <c r="B134" s="4" t="s">
        <v>13</v>
      </c>
      <c r="C134" s="4" t="s">
        <v>476</v>
      </c>
      <c r="D134" s="4" t="s">
        <v>141</v>
      </c>
      <c r="E134" s="4" t="s">
        <v>142</v>
      </c>
      <c r="F134" s="4">
        <v>6900.0</v>
      </c>
      <c r="G134" s="3" t="s">
        <v>36</v>
      </c>
      <c r="H134" s="3" t="s">
        <v>228</v>
      </c>
      <c r="I134" s="4" t="s">
        <v>477</v>
      </c>
      <c r="J134" s="4" t="s">
        <v>20</v>
      </c>
      <c r="L134" s="4" t="s">
        <v>478</v>
      </c>
      <c r="U134" s="4">
        <v>11.0</v>
      </c>
    </row>
    <row r="135">
      <c r="A135" s="3" t="s">
        <v>479</v>
      </c>
      <c r="B135" s="4" t="s">
        <v>13</v>
      </c>
      <c r="C135" s="4" t="s">
        <v>480</v>
      </c>
      <c r="D135" s="4" t="s">
        <v>141</v>
      </c>
      <c r="E135" s="4" t="s">
        <v>142</v>
      </c>
      <c r="F135" s="4">
        <v>6800.0</v>
      </c>
      <c r="G135" s="3" t="s">
        <v>36</v>
      </c>
      <c r="H135" s="3" t="s">
        <v>228</v>
      </c>
      <c r="I135" s="4" t="s">
        <v>477</v>
      </c>
      <c r="J135" s="4" t="s">
        <v>20</v>
      </c>
      <c r="L135" s="4" t="s">
        <v>481</v>
      </c>
      <c r="U135" s="4">
        <v>11.0</v>
      </c>
    </row>
    <row r="136">
      <c r="A136" s="3" t="s">
        <v>482</v>
      </c>
      <c r="B136" s="4" t="s">
        <v>13</v>
      </c>
      <c r="C136" s="4" t="s">
        <v>483</v>
      </c>
      <c r="D136" s="4" t="s">
        <v>141</v>
      </c>
      <c r="E136" s="4" t="s">
        <v>142</v>
      </c>
      <c r="F136" s="4">
        <v>6900.0</v>
      </c>
      <c r="G136" s="3" t="s">
        <v>36</v>
      </c>
      <c r="H136" s="3" t="s">
        <v>228</v>
      </c>
      <c r="I136" s="4" t="s">
        <v>477</v>
      </c>
      <c r="J136" s="4" t="s">
        <v>20</v>
      </c>
      <c r="L136" s="4" t="s">
        <v>484</v>
      </c>
      <c r="U136" s="4">
        <v>11.0</v>
      </c>
    </row>
    <row r="137">
      <c r="A137" s="3" t="s">
        <v>485</v>
      </c>
      <c r="B137" s="4" t="s">
        <v>13</v>
      </c>
      <c r="C137" s="4" t="s">
        <v>486</v>
      </c>
      <c r="D137" s="4" t="s">
        <v>141</v>
      </c>
      <c r="E137" s="4" t="s">
        <v>142</v>
      </c>
      <c r="F137" s="4">
        <v>6900.0</v>
      </c>
      <c r="G137" s="3" t="s">
        <v>36</v>
      </c>
      <c r="H137" s="3" t="s">
        <v>228</v>
      </c>
      <c r="I137" s="4" t="s">
        <v>477</v>
      </c>
      <c r="J137" s="4" t="s">
        <v>20</v>
      </c>
      <c r="L137" s="4" t="s">
        <v>487</v>
      </c>
      <c r="U137" s="4">
        <v>11.0</v>
      </c>
    </row>
    <row r="138">
      <c r="A138" s="3" t="s">
        <v>488</v>
      </c>
      <c r="B138" s="4" t="s">
        <v>13</v>
      </c>
      <c r="C138" s="4" t="s">
        <v>489</v>
      </c>
      <c r="D138" s="4" t="s">
        <v>141</v>
      </c>
      <c r="E138" s="4" t="s">
        <v>142</v>
      </c>
      <c r="F138" s="4">
        <v>6900.0</v>
      </c>
      <c r="G138" s="3" t="s">
        <v>36</v>
      </c>
      <c r="H138" s="3" t="s">
        <v>228</v>
      </c>
      <c r="I138" s="4" t="s">
        <v>477</v>
      </c>
      <c r="J138" s="4" t="s">
        <v>20</v>
      </c>
      <c r="L138" s="4" t="s">
        <v>490</v>
      </c>
      <c r="U138" s="4">
        <v>11.0</v>
      </c>
    </row>
    <row r="139">
      <c r="A139" s="3" t="s">
        <v>491</v>
      </c>
      <c r="B139" s="4" t="s">
        <v>13</v>
      </c>
      <c r="C139" s="4" t="s">
        <v>492</v>
      </c>
      <c r="D139" s="4" t="s">
        <v>141</v>
      </c>
      <c r="E139" s="4" t="s">
        <v>142</v>
      </c>
      <c r="F139" s="4">
        <v>6800.0</v>
      </c>
      <c r="G139" s="3" t="s">
        <v>36</v>
      </c>
      <c r="H139" s="3" t="s">
        <v>228</v>
      </c>
      <c r="I139" s="4" t="s">
        <v>477</v>
      </c>
      <c r="J139" s="4" t="s">
        <v>20</v>
      </c>
      <c r="L139" s="4" t="s">
        <v>493</v>
      </c>
      <c r="U139" s="4">
        <v>11.0</v>
      </c>
    </row>
    <row r="140">
      <c r="A140" s="3" t="s">
        <v>494</v>
      </c>
      <c r="B140" s="4" t="s">
        <v>13</v>
      </c>
      <c r="C140" s="4" t="s">
        <v>495</v>
      </c>
      <c r="D140" s="4" t="s">
        <v>141</v>
      </c>
      <c r="E140" s="4" t="s">
        <v>142</v>
      </c>
      <c r="F140" s="4">
        <v>6900.0</v>
      </c>
      <c r="G140" s="3" t="s">
        <v>36</v>
      </c>
      <c r="H140" s="3" t="s">
        <v>228</v>
      </c>
      <c r="I140" s="4" t="s">
        <v>477</v>
      </c>
      <c r="J140" s="4" t="s">
        <v>20</v>
      </c>
      <c r="L140" s="4" t="s">
        <v>496</v>
      </c>
      <c r="U140" s="4">
        <v>11.0</v>
      </c>
    </row>
    <row r="141">
      <c r="A141" s="3" t="s">
        <v>497</v>
      </c>
      <c r="B141" s="4" t="s">
        <v>13</v>
      </c>
      <c r="C141" s="4" t="s">
        <v>498</v>
      </c>
      <c r="D141" s="4" t="s">
        <v>141</v>
      </c>
      <c r="E141" s="4" t="s">
        <v>142</v>
      </c>
      <c r="F141" s="4">
        <v>6900.0</v>
      </c>
      <c r="G141" s="3" t="s">
        <v>36</v>
      </c>
      <c r="H141" s="3" t="s">
        <v>228</v>
      </c>
      <c r="I141" s="4" t="s">
        <v>499</v>
      </c>
      <c r="J141" s="4" t="s">
        <v>20</v>
      </c>
      <c r="L141" s="4" t="s">
        <v>500</v>
      </c>
      <c r="U141" s="4">
        <v>11.0</v>
      </c>
    </row>
    <row r="142">
      <c r="A142" s="3" t="s">
        <v>501</v>
      </c>
      <c r="B142" s="4" t="s">
        <v>13</v>
      </c>
      <c r="C142" s="4" t="s">
        <v>502</v>
      </c>
      <c r="D142" s="4" t="s">
        <v>141</v>
      </c>
      <c r="E142" s="4" t="s">
        <v>142</v>
      </c>
      <c r="F142" s="4">
        <v>6900.0</v>
      </c>
      <c r="G142" s="3" t="s">
        <v>36</v>
      </c>
      <c r="H142" s="3" t="s">
        <v>228</v>
      </c>
      <c r="I142" s="4" t="s">
        <v>499</v>
      </c>
      <c r="J142" s="4" t="s">
        <v>20</v>
      </c>
      <c r="L142" s="4" t="s">
        <v>503</v>
      </c>
      <c r="U142" s="4">
        <v>11.0</v>
      </c>
    </row>
    <row r="143">
      <c r="A143" s="3" t="s">
        <v>504</v>
      </c>
      <c r="B143" s="4" t="s">
        <v>13</v>
      </c>
      <c r="C143" s="4" t="s">
        <v>505</v>
      </c>
      <c r="D143" s="4" t="s">
        <v>369</v>
      </c>
      <c r="E143" s="4" t="s">
        <v>370</v>
      </c>
      <c r="F143" s="4">
        <v>5000.0</v>
      </c>
      <c r="G143" s="3" t="s">
        <v>506</v>
      </c>
      <c r="H143" s="3" t="s">
        <v>249</v>
      </c>
      <c r="I143" s="4" t="s">
        <v>499</v>
      </c>
      <c r="L143" s="4" t="s">
        <v>507</v>
      </c>
      <c r="U143" s="4">
        <v>11.0</v>
      </c>
    </row>
    <row r="144">
      <c r="A144" s="3" t="s">
        <v>508</v>
      </c>
      <c r="B144" s="4" t="s">
        <v>13</v>
      </c>
      <c r="C144" s="4" t="s">
        <v>509</v>
      </c>
      <c r="D144" s="4" t="s">
        <v>141</v>
      </c>
      <c r="E144" s="4" t="s">
        <v>142</v>
      </c>
      <c r="F144" s="4">
        <v>6200.0</v>
      </c>
      <c r="G144" s="3" t="s">
        <v>510</v>
      </c>
      <c r="H144" s="3" t="s">
        <v>249</v>
      </c>
      <c r="I144" s="4" t="s">
        <v>499</v>
      </c>
      <c r="J144" s="4" t="s">
        <v>20</v>
      </c>
      <c r="L144" s="4" t="s">
        <v>511</v>
      </c>
      <c r="U144" s="4">
        <v>11.0</v>
      </c>
    </row>
    <row r="145">
      <c r="A145" s="3" t="s">
        <v>512</v>
      </c>
      <c r="B145" s="4" t="s">
        <v>13</v>
      </c>
      <c r="C145" s="4" t="s">
        <v>513</v>
      </c>
      <c r="D145" s="4" t="s">
        <v>52</v>
      </c>
      <c r="E145" s="4" t="s">
        <v>53</v>
      </c>
      <c r="F145" s="4">
        <v>4000.0</v>
      </c>
      <c r="G145" s="3" t="s">
        <v>36</v>
      </c>
      <c r="H145" s="3" t="s">
        <v>249</v>
      </c>
      <c r="I145" s="4" t="s">
        <v>499</v>
      </c>
      <c r="L145" s="4" t="s">
        <v>514</v>
      </c>
      <c r="U145" s="4">
        <v>11.0</v>
      </c>
    </row>
    <row r="146">
      <c r="A146" s="3" t="s">
        <v>515</v>
      </c>
      <c r="B146" s="4" t="s">
        <v>13</v>
      </c>
      <c r="C146" s="4" t="s">
        <v>516</v>
      </c>
      <c r="D146" s="4" t="s">
        <v>52</v>
      </c>
      <c r="E146" s="4" t="s">
        <v>53</v>
      </c>
      <c r="F146" s="4">
        <v>4000.0</v>
      </c>
      <c r="G146" s="3" t="s">
        <v>36</v>
      </c>
      <c r="H146" s="3" t="s">
        <v>249</v>
      </c>
      <c r="I146" s="4" t="s">
        <v>60</v>
      </c>
      <c r="L146" s="4" t="s">
        <v>517</v>
      </c>
      <c r="U146" s="4">
        <v>11.0</v>
      </c>
    </row>
    <row r="147">
      <c r="A147" s="3" t="s">
        <v>518</v>
      </c>
      <c r="B147" s="4" t="s">
        <v>13</v>
      </c>
      <c r="C147" s="4" t="s">
        <v>519</v>
      </c>
      <c r="D147" s="4" t="s">
        <v>52</v>
      </c>
      <c r="E147" s="4" t="s">
        <v>53</v>
      </c>
      <c r="F147" s="4">
        <v>4000.0</v>
      </c>
      <c r="G147" s="3" t="s">
        <v>36</v>
      </c>
      <c r="H147" s="3" t="s">
        <v>249</v>
      </c>
      <c r="I147" s="4" t="s">
        <v>520</v>
      </c>
      <c r="L147" s="4" t="s">
        <v>521</v>
      </c>
      <c r="U147" s="4">
        <v>11.0</v>
      </c>
    </row>
    <row r="148">
      <c r="A148" s="3" t="s">
        <v>522</v>
      </c>
      <c r="B148" s="4" t="s">
        <v>13</v>
      </c>
      <c r="C148" s="4" t="s">
        <v>523</v>
      </c>
      <c r="D148" s="4" t="s">
        <v>52</v>
      </c>
      <c r="E148" s="4" t="s">
        <v>53</v>
      </c>
      <c r="F148" s="4">
        <v>4000.0</v>
      </c>
      <c r="G148" s="3" t="s">
        <v>36</v>
      </c>
      <c r="H148" s="3" t="s">
        <v>249</v>
      </c>
      <c r="I148" s="4" t="s">
        <v>524</v>
      </c>
      <c r="L148" s="4" t="s">
        <v>525</v>
      </c>
      <c r="U148" s="4">
        <v>11.0</v>
      </c>
    </row>
    <row r="149">
      <c r="A149" s="3" t="s">
        <v>526</v>
      </c>
      <c r="B149" s="4" t="s">
        <v>13</v>
      </c>
      <c r="C149" s="4" t="s">
        <v>527</v>
      </c>
      <c r="D149" s="4" t="s">
        <v>52</v>
      </c>
      <c r="E149" s="4" t="s">
        <v>53</v>
      </c>
      <c r="F149" s="4">
        <v>4000.0</v>
      </c>
      <c r="G149" s="3" t="s">
        <v>36</v>
      </c>
      <c r="H149" s="3" t="s">
        <v>249</v>
      </c>
      <c r="I149" s="4" t="s">
        <v>67</v>
      </c>
      <c r="L149" s="4" t="s">
        <v>511</v>
      </c>
      <c r="U149" s="4">
        <v>11.0</v>
      </c>
    </row>
    <row r="150">
      <c r="A150" s="3" t="s">
        <v>528</v>
      </c>
      <c r="B150" s="4" t="s">
        <v>13</v>
      </c>
      <c r="C150" s="4" t="s">
        <v>529</v>
      </c>
      <c r="D150" s="4" t="s">
        <v>141</v>
      </c>
      <c r="E150" s="4" t="s">
        <v>142</v>
      </c>
      <c r="F150" s="4">
        <v>6900.0</v>
      </c>
      <c r="G150" s="3" t="s">
        <v>36</v>
      </c>
      <c r="H150" s="3" t="s">
        <v>228</v>
      </c>
      <c r="I150" s="4" t="s">
        <v>477</v>
      </c>
      <c r="J150" s="4" t="s">
        <v>20</v>
      </c>
      <c r="L150" s="4" t="s">
        <v>530</v>
      </c>
      <c r="U150" s="4">
        <v>11.0</v>
      </c>
    </row>
    <row r="151">
      <c r="A151" s="3" t="s">
        <v>531</v>
      </c>
      <c r="B151" s="4" t="s">
        <v>13</v>
      </c>
      <c r="C151" s="4" t="s">
        <v>532</v>
      </c>
      <c r="D151" s="4" t="s">
        <v>141</v>
      </c>
      <c r="E151" s="4" t="s">
        <v>142</v>
      </c>
      <c r="F151" s="4">
        <v>6900.0</v>
      </c>
      <c r="G151" s="3" t="s">
        <v>59</v>
      </c>
      <c r="H151" s="3" t="s">
        <v>228</v>
      </c>
      <c r="I151" s="4" t="s">
        <v>533</v>
      </c>
      <c r="J151" s="4" t="s">
        <v>20</v>
      </c>
      <c r="U151" s="4">
        <v>11.0</v>
      </c>
    </row>
    <row r="152">
      <c r="A152" s="3" t="s">
        <v>534</v>
      </c>
      <c r="B152" s="4" t="s">
        <v>13</v>
      </c>
      <c r="C152" s="4" t="s">
        <v>535</v>
      </c>
      <c r="D152" s="4" t="s">
        <v>141</v>
      </c>
      <c r="E152" s="4" t="s">
        <v>142</v>
      </c>
      <c r="F152" s="4">
        <v>6900.0</v>
      </c>
      <c r="G152" s="3" t="s">
        <v>59</v>
      </c>
      <c r="H152" s="3" t="s">
        <v>228</v>
      </c>
      <c r="I152" s="4" t="s">
        <v>533</v>
      </c>
      <c r="J152" s="4" t="s">
        <v>20</v>
      </c>
      <c r="U152" s="4">
        <v>11.0</v>
      </c>
    </row>
    <row r="153">
      <c r="A153" s="3" t="s">
        <v>536</v>
      </c>
      <c r="B153" s="4" t="s">
        <v>13</v>
      </c>
      <c r="C153" s="4" t="s">
        <v>537</v>
      </c>
      <c r="D153" s="4" t="s">
        <v>369</v>
      </c>
      <c r="E153" s="4" t="s">
        <v>370</v>
      </c>
      <c r="F153" s="4">
        <v>5100.0</v>
      </c>
      <c r="G153" s="3" t="s">
        <v>36</v>
      </c>
      <c r="H153" s="3" t="s">
        <v>249</v>
      </c>
      <c r="I153" s="4" t="s">
        <v>538</v>
      </c>
      <c r="U153" s="4">
        <v>11.0</v>
      </c>
    </row>
    <row r="154">
      <c r="A154" s="3" t="s">
        <v>539</v>
      </c>
      <c r="B154" s="4" t="s">
        <v>13</v>
      </c>
      <c r="C154" s="4" t="s">
        <v>540</v>
      </c>
      <c r="D154" s="4" t="s">
        <v>369</v>
      </c>
      <c r="E154" s="4" t="s">
        <v>370</v>
      </c>
      <c r="F154" s="4">
        <v>5000.0</v>
      </c>
      <c r="G154" s="3" t="s">
        <v>36</v>
      </c>
      <c r="H154" s="3" t="s">
        <v>249</v>
      </c>
      <c r="I154" s="4" t="s">
        <v>538</v>
      </c>
      <c r="L154" s="4" t="s">
        <v>541</v>
      </c>
      <c r="U154" s="4">
        <v>11.0</v>
      </c>
    </row>
    <row r="155">
      <c r="A155" s="3" t="s">
        <v>542</v>
      </c>
      <c r="B155" s="4" t="s">
        <v>13</v>
      </c>
      <c r="C155" s="4" t="s">
        <v>543</v>
      </c>
      <c r="D155" s="4" t="s">
        <v>141</v>
      </c>
      <c r="E155" s="4" t="s">
        <v>142</v>
      </c>
      <c r="F155" s="4">
        <v>6200.0</v>
      </c>
      <c r="G155" s="3" t="s">
        <v>74</v>
      </c>
      <c r="H155" s="3" t="s">
        <v>249</v>
      </c>
      <c r="I155" s="4" t="s">
        <v>544</v>
      </c>
      <c r="J155" s="4" t="s">
        <v>20</v>
      </c>
      <c r="L155" s="4" t="s">
        <v>545</v>
      </c>
      <c r="U155" s="4">
        <v>11.0</v>
      </c>
    </row>
    <row r="156">
      <c r="A156" s="3" t="s">
        <v>546</v>
      </c>
      <c r="B156" s="4" t="s">
        <v>13</v>
      </c>
      <c r="C156" s="4" t="s">
        <v>547</v>
      </c>
      <c r="D156" s="4" t="s">
        <v>141</v>
      </c>
      <c r="E156" s="4" t="s">
        <v>142</v>
      </c>
      <c r="F156" s="4">
        <v>6300.0</v>
      </c>
      <c r="G156" s="3" t="s">
        <v>74</v>
      </c>
      <c r="H156" s="3" t="s">
        <v>249</v>
      </c>
      <c r="I156" s="4" t="s">
        <v>544</v>
      </c>
      <c r="J156" s="4" t="s">
        <v>20</v>
      </c>
      <c r="L156" s="4" t="s">
        <v>548</v>
      </c>
      <c r="U156" s="4">
        <v>11.0</v>
      </c>
    </row>
    <row r="157">
      <c r="A157" s="3" t="s">
        <v>549</v>
      </c>
      <c r="B157" s="4" t="s">
        <v>13</v>
      </c>
      <c r="C157" s="4" t="s">
        <v>550</v>
      </c>
      <c r="D157" s="4" t="s">
        <v>551</v>
      </c>
      <c r="E157" s="4" t="s">
        <v>270</v>
      </c>
      <c r="F157" s="4">
        <v>4200.0</v>
      </c>
      <c r="G157" s="3" t="s">
        <v>552</v>
      </c>
      <c r="H157" s="3" t="s">
        <v>249</v>
      </c>
      <c r="I157" s="4" t="s">
        <v>553</v>
      </c>
      <c r="L157" s="4" t="s">
        <v>554</v>
      </c>
      <c r="U157" s="4">
        <v>11.0</v>
      </c>
    </row>
    <row r="158">
      <c r="A158" s="3" t="s">
        <v>555</v>
      </c>
      <c r="B158" s="4" t="s">
        <v>13</v>
      </c>
      <c r="C158" s="4" t="s">
        <v>556</v>
      </c>
      <c r="D158" s="4" t="s">
        <v>551</v>
      </c>
      <c r="E158" s="4" t="s">
        <v>270</v>
      </c>
      <c r="F158" s="4">
        <v>4100.0</v>
      </c>
      <c r="G158" s="3" t="s">
        <v>552</v>
      </c>
      <c r="H158" s="3" t="s">
        <v>249</v>
      </c>
      <c r="I158" s="4" t="s">
        <v>553</v>
      </c>
      <c r="L158" s="4" t="s">
        <v>557</v>
      </c>
      <c r="U158" s="4">
        <v>11.0</v>
      </c>
    </row>
    <row r="159">
      <c r="A159" s="3" t="s">
        <v>558</v>
      </c>
      <c r="B159" s="4" t="s">
        <v>13</v>
      </c>
      <c r="C159" s="4" t="s">
        <v>559</v>
      </c>
      <c r="D159" s="4" t="s">
        <v>551</v>
      </c>
      <c r="E159" s="4" t="s">
        <v>270</v>
      </c>
      <c r="F159" s="4">
        <v>4100.0</v>
      </c>
      <c r="G159" s="3" t="s">
        <v>552</v>
      </c>
      <c r="H159" s="3" t="s">
        <v>249</v>
      </c>
      <c r="I159" s="4" t="s">
        <v>553</v>
      </c>
      <c r="L159" s="4" t="s">
        <v>560</v>
      </c>
      <c r="U159" s="4">
        <v>11.0</v>
      </c>
    </row>
    <row r="160">
      <c r="A160" s="3" t="s">
        <v>561</v>
      </c>
      <c r="B160" s="4" t="s">
        <v>13</v>
      </c>
      <c r="C160" s="4" t="s">
        <v>562</v>
      </c>
      <c r="D160" s="4" t="s">
        <v>551</v>
      </c>
      <c r="E160" s="4" t="s">
        <v>270</v>
      </c>
      <c r="F160" s="4">
        <v>4100.0</v>
      </c>
      <c r="G160" s="3" t="s">
        <v>552</v>
      </c>
      <c r="H160" s="3" t="s">
        <v>249</v>
      </c>
      <c r="I160" s="4" t="s">
        <v>19</v>
      </c>
      <c r="U160" s="4">
        <v>11.0</v>
      </c>
    </row>
    <row r="161">
      <c r="A161" s="3" t="s">
        <v>563</v>
      </c>
      <c r="B161" s="4" t="s">
        <v>13</v>
      </c>
      <c r="C161" s="4" t="s">
        <v>564</v>
      </c>
      <c r="D161" s="4" t="s">
        <v>565</v>
      </c>
      <c r="E161" s="4" t="s">
        <v>566</v>
      </c>
      <c r="F161" s="4">
        <v>4800.0</v>
      </c>
      <c r="G161" s="3" t="s">
        <v>567</v>
      </c>
      <c r="H161" s="3" t="s">
        <v>249</v>
      </c>
      <c r="I161" s="4" t="s">
        <v>568</v>
      </c>
      <c r="L161" s="4" t="s">
        <v>569</v>
      </c>
      <c r="U161" s="4">
        <v>11.0</v>
      </c>
    </row>
    <row r="162">
      <c r="A162" s="3" t="s">
        <v>570</v>
      </c>
      <c r="B162" s="4" t="s">
        <v>13</v>
      </c>
      <c r="C162" s="4" t="s">
        <v>571</v>
      </c>
      <c r="D162" s="4" t="s">
        <v>565</v>
      </c>
      <c r="E162" s="4" t="s">
        <v>566</v>
      </c>
      <c r="F162" s="4">
        <v>4800.0</v>
      </c>
      <c r="G162" s="3" t="s">
        <v>567</v>
      </c>
      <c r="H162" s="3" t="s">
        <v>249</v>
      </c>
      <c r="I162" s="4" t="s">
        <v>568</v>
      </c>
      <c r="U162" s="4">
        <v>11.0</v>
      </c>
    </row>
    <row r="163">
      <c r="A163" s="3" t="s">
        <v>572</v>
      </c>
      <c r="B163" s="4" t="s">
        <v>13</v>
      </c>
      <c r="C163" s="4" t="s">
        <v>573</v>
      </c>
      <c r="D163" s="4" t="s">
        <v>141</v>
      </c>
      <c r="E163" s="4" t="s">
        <v>142</v>
      </c>
      <c r="F163" s="4">
        <v>6300.0</v>
      </c>
      <c r="G163" s="3" t="s">
        <v>567</v>
      </c>
      <c r="H163" s="3" t="s">
        <v>249</v>
      </c>
      <c r="I163" s="4" t="s">
        <v>114</v>
      </c>
      <c r="J163" s="4" t="s">
        <v>20</v>
      </c>
      <c r="L163" s="4" t="s">
        <v>574</v>
      </c>
      <c r="U163" s="4">
        <v>11.0</v>
      </c>
    </row>
    <row r="164">
      <c r="A164" s="3" t="s">
        <v>575</v>
      </c>
      <c r="B164" s="4" t="s">
        <v>13</v>
      </c>
      <c r="C164" s="4" t="s">
        <v>576</v>
      </c>
      <c r="D164" s="4" t="s">
        <v>141</v>
      </c>
      <c r="E164" s="4" t="s">
        <v>142</v>
      </c>
      <c r="F164" s="4">
        <v>6300.0</v>
      </c>
      <c r="G164" s="3" t="s">
        <v>567</v>
      </c>
      <c r="H164" s="3" t="s">
        <v>249</v>
      </c>
      <c r="I164" s="4" t="s">
        <v>577</v>
      </c>
      <c r="J164" s="4" t="s">
        <v>20</v>
      </c>
      <c r="L164" s="4" t="s">
        <v>578</v>
      </c>
      <c r="U164" s="4">
        <v>11.0</v>
      </c>
    </row>
    <row r="165">
      <c r="A165" s="3" t="s">
        <v>579</v>
      </c>
      <c r="B165" s="4" t="s">
        <v>13</v>
      </c>
      <c r="C165" s="4" t="s">
        <v>580</v>
      </c>
      <c r="D165" s="4" t="s">
        <v>141</v>
      </c>
      <c r="E165" s="4" t="s">
        <v>142</v>
      </c>
      <c r="F165" s="4">
        <v>6200.0</v>
      </c>
      <c r="G165" s="3" t="s">
        <v>567</v>
      </c>
      <c r="H165" s="3" t="s">
        <v>249</v>
      </c>
      <c r="I165" s="4" t="s">
        <v>581</v>
      </c>
      <c r="J165" s="4" t="s">
        <v>20</v>
      </c>
      <c r="U165" s="4">
        <v>11.0</v>
      </c>
    </row>
    <row r="166">
      <c r="A166" s="1" t="s">
        <v>582</v>
      </c>
      <c r="B166" s="4" t="s">
        <v>13</v>
      </c>
      <c r="C166" s="4" t="s">
        <v>583</v>
      </c>
      <c r="D166" s="4" t="s">
        <v>369</v>
      </c>
      <c r="E166" s="4" t="s">
        <v>370</v>
      </c>
      <c r="F166" s="4">
        <v>5100.0</v>
      </c>
      <c r="G166" s="3" t="s">
        <v>36</v>
      </c>
      <c r="H166" s="3" t="s">
        <v>249</v>
      </c>
      <c r="I166" s="4" t="s">
        <v>584</v>
      </c>
      <c r="L166" s="2" t="s">
        <v>585</v>
      </c>
      <c r="U166" s="4">
        <v>11.0</v>
      </c>
    </row>
    <row r="167">
      <c r="A167" s="3" t="s">
        <v>586</v>
      </c>
      <c r="B167" s="4" t="s">
        <v>13</v>
      </c>
      <c r="C167" s="4" t="s">
        <v>587</v>
      </c>
      <c r="D167" s="4" t="s">
        <v>369</v>
      </c>
      <c r="E167" s="4" t="s">
        <v>370</v>
      </c>
      <c r="F167" s="4">
        <v>5100.0</v>
      </c>
      <c r="G167" s="3" t="s">
        <v>36</v>
      </c>
      <c r="H167" s="3" t="s">
        <v>249</v>
      </c>
      <c r="I167" s="4" t="s">
        <v>588</v>
      </c>
      <c r="L167" s="4" t="s">
        <v>589</v>
      </c>
      <c r="U167" s="4">
        <v>11.0</v>
      </c>
    </row>
    <row r="168">
      <c r="A168" s="3" t="s">
        <v>590</v>
      </c>
      <c r="B168" s="4" t="s">
        <v>13</v>
      </c>
      <c r="C168" s="4" t="s">
        <v>591</v>
      </c>
      <c r="D168" s="4" t="s">
        <v>369</v>
      </c>
      <c r="E168" s="4" t="s">
        <v>370</v>
      </c>
      <c r="F168" s="4">
        <v>5100.0</v>
      </c>
      <c r="G168" s="3" t="s">
        <v>36</v>
      </c>
      <c r="H168" s="3" t="s">
        <v>249</v>
      </c>
      <c r="I168" s="4" t="s">
        <v>592</v>
      </c>
      <c r="L168" s="4" t="s">
        <v>593</v>
      </c>
      <c r="U168" s="4">
        <v>11.0</v>
      </c>
    </row>
    <row r="169">
      <c r="A169" s="3" t="s">
        <v>594</v>
      </c>
      <c r="B169" s="4" t="s">
        <v>13</v>
      </c>
      <c r="C169" s="4" t="s">
        <v>595</v>
      </c>
      <c r="D169" s="4" t="s">
        <v>141</v>
      </c>
      <c r="E169" s="4" t="s">
        <v>142</v>
      </c>
      <c r="F169" s="4">
        <v>6900.0</v>
      </c>
      <c r="G169" s="3" t="s">
        <v>36</v>
      </c>
      <c r="H169" s="3" t="s">
        <v>228</v>
      </c>
      <c r="I169" s="4" t="s">
        <v>596</v>
      </c>
      <c r="J169" s="4" t="s">
        <v>20</v>
      </c>
      <c r="L169" s="4" t="s">
        <v>597</v>
      </c>
      <c r="U169" s="4">
        <v>11.0</v>
      </c>
    </row>
    <row r="170">
      <c r="A170" s="3" t="s">
        <v>598</v>
      </c>
      <c r="B170" s="4" t="s">
        <v>13</v>
      </c>
      <c r="C170" s="4" t="s">
        <v>599</v>
      </c>
      <c r="D170" s="4" t="s">
        <v>141</v>
      </c>
      <c r="E170" s="4" t="s">
        <v>142</v>
      </c>
      <c r="F170" s="4">
        <v>6900.0</v>
      </c>
      <c r="G170" s="3" t="s">
        <v>36</v>
      </c>
      <c r="H170" s="3" t="s">
        <v>228</v>
      </c>
      <c r="I170" s="4" t="s">
        <v>600</v>
      </c>
      <c r="J170" s="4" t="s">
        <v>20</v>
      </c>
      <c r="L170" s="4" t="s">
        <v>601</v>
      </c>
      <c r="U170" s="4">
        <v>11.0</v>
      </c>
    </row>
    <row r="171">
      <c r="A171" s="3" t="s">
        <v>602</v>
      </c>
      <c r="B171" s="4" t="s">
        <v>13</v>
      </c>
      <c r="C171" s="4" t="s">
        <v>603</v>
      </c>
      <c r="D171" s="4" t="s">
        <v>141</v>
      </c>
      <c r="E171" s="4" t="s">
        <v>142</v>
      </c>
      <c r="F171" s="4">
        <v>6900.0</v>
      </c>
      <c r="G171" s="3" t="s">
        <v>36</v>
      </c>
      <c r="H171" s="3" t="s">
        <v>228</v>
      </c>
      <c r="I171" s="4" t="s">
        <v>604</v>
      </c>
      <c r="J171" s="4" t="s">
        <v>20</v>
      </c>
      <c r="L171" s="4" t="s">
        <v>605</v>
      </c>
      <c r="U171" s="4">
        <v>11.0</v>
      </c>
    </row>
    <row r="172">
      <c r="A172" s="3" t="s">
        <v>606</v>
      </c>
      <c r="B172" s="4" t="s">
        <v>13</v>
      </c>
      <c r="C172" s="4" t="s">
        <v>607</v>
      </c>
      <c r="D172" s="4" t="s">
        <v>141</v>
      </c>
      <c r="E172" s="4" t="s">
        <v>142</v>
      </c>
      <c r="F172" s="4">
        <v>6900.0</v>
      </c>
      <c r="G172" s="3" t="s">
        <v>36</v>
      </c>
      <c r="H172" s="3" t="s">
        <v>228</v>
      </c>
      <c r="I172" s="4" t="s">
        <v>608</v>
      </c>
      <c r="J172" s="4" t="s">
        <v>20</v>
      </c>
      <c r="L172" s="4" t="s">
        <v>609</v>
      </c>
      <c r="U172" s="4">
        <v>11.0</v>
      </c>
    </row>
    <row r="173">
      <c r="A173" s="3" t="s">
        <v>610</v>
      </c>
      <c r="B173" s="4" t="s">
        <v>13</v>
      </c>
      <c r="C173" s="4" t="s">
        <v>611</v>
      </c>
      <c r="D173" s="4" t="s">
        <v>369</v>
      </c>
      <c r="E173" s="4" t="s">
        <v>370</v>
      </c>
      <c r="F173" s="4">
        <v>5100.0</v>
      </c>
      <c r="G173" s="3" t="s">
        <v>36</v>
      </c>
      <c r="H173" s="3" t="s">
        <v>249</v>
      </c>
      <c r="I173" s="4" t="s">
        <v>612</v>
      </c>
      <c r="L173" s="4" t="s">
        <v>613</v>
      </c>
      <c r="U173" s="4">
        <v>11.0</v>
      </c>
    </row>
    <row r="174">
      <c r="A174" s="3" t="s">
        <v>614</v>
      </c>
      <c r="B174" s="4" t="s">
        <v>13</v>
      </c>
      <c r="C174" s="4" t="s">
        <v>615</v>
      </c>
      <c r="D174" s="4" t="s">
        <v>369</v>
      </c>
      <c r="E174" s="4" t="s">
        <v>370</v>
      </c>
      <c r="F174" s="4">
        <v>5100.0</v>
      </c>
      <c r="G174" s="3" t="s">
        <v>36</v>
      </c>
      <c r="H174" s="3" t="s">
        <v>249</v>
      </c>
      <c r="I174" s="4" t="s">
        <v>616</v>
      </c>
      <c r="L174" s="4" t="s">
        <v>617</v>
      </c>
      <c r="U174" s="4">
        <v>11.0</v>
      </c>
    </row>
    <row r="175">
      <c r="A175" s="3" t="s">
        <v>618</v>
      </c>
      <c r="B175" s="4" t="s">
        <v>13</v>
      </c>
      <c r="C175" s="4" t="s">
        <v>619</v>
      </c>
      <c r="D175" s="4" t="s">
        <v>141</v>
      </c>
      <c r="E175" s="4" t="s">
        <v>142</v>
      </c>
      <c r="F175" s="4">
        <v>6300.0</v>
      </c>
      <c r="G175" s="3" t="s">
        <v>620</v>
      </c>
      <c r="H175" s="3" t="s">
        <v>249</v>
      </c>
      <c r="I175" s="4" t="s">
        <v>621</v>
      </c>
      <c r="J175" s="4" t="s">
        <v>20</v>
      </c>
      <c r="L175" s="4" t="s">
        <v>622</v>
      </c>
      <c r="U175" s="4">
        <v>11.0</v>
      </c>
    </row>
    <row r="176">
      <c r="A176" s="3" t="s">
        <v>623</v>
      </c>
      <c r="B176" s="4" t="s">
        <v>13</v>
      </c>
      <c r="C176" s="4" t="s">
        <v>624</v>
      </c>
      <c r="D176" s="4" t="s">
        <v>141</v>
      </c>
      <c r="E176" s="4" t="s">
        <v>142</v>
      </c>
      <c r="F176" s="4">
        <v>6300.0</v>
      </c>
      <c r="G176" s="3" t="s">
        <v>620</v>
      </c>
      <c r="H176" s="3" t="s">
        <v>249</v>
      </c>
      <c r="I176" s="4" t="s">
        <v>625</v>
      </c>
      <c r="J176" s="4" t="s">
        <v>20</v>
      </c>
      <c r="L176" s="4" t="s">
        <v>626</v>
      </c>
      <c r="U176" s="4">
        <v>11.0</v>
      </c>
    </row>
    <row r="177">
      <c r="A177" s="3" t="s">
        <v>627</v>
      </c>
      <c r="B177" s="4" t="s">
        <v>13</v>
      </c>
      <c r="C177" s="4" t="s">
        <v>628</v>
      </c>
      <c r="D177" s="4" t="s">
        <v>141</v>
      </c>
      <c r="E177" s="4" t="s">
        <v>142</v>
      </c>
      <c r="F177" s="4">
        <v>6400.0</v>
      </c>
      <c r="G177" s="3" t="s">
        <v>620</v>
      </c>
      <c r="H177" s="3" t="s">
        <v>249</v>
      </c>
      <c r="I177" s="4" t="s">
        <v>629</v>
      </c>
      <c r="J177" s="4" t="s">
        <v>20</v>
      </c>
      <c r="L177" s="4" t="s">
        <v>630</v>
      </c>
      <c r="U177" s="4">
        <v>11.0</v>
      </c>
    </row>
    <row r="178">
      <c r="A178" s="3" t="s">
        <v>631</v>
      </c>
      <c r="B178" s="4" t="s">
        <v>13</v>
      </c>
      <c r="C178" s="4" t="s">
        <v>632</v>
      </c>
      <c r="D178" s="4" t="s">
        <v>141</v>
      </c>
      <c r="E178" s="4" t="s">
        <v>142</v>
      </c>
      <c r="F178" s="4">
        <v>6300.0</v>
      </c>
      <c r="G178" s="3" t="s">
        <v>620</v>
      </c>
      <c r="H178" s="3" t="s">
        <v>249</v>
      </c>
      <c r="I178" s="4" t="s">
        <v>629</v>
      </c>
      <c r="J178" s="4" t="s">
        <v>20</v>
      </c>
      <c r="L178" s="4" t="s">
        <v>633</v>
      </c>
      <c r="U178" s="4">
        <v>11.0</v>
      </c>
    </row>
    <row r="179">
      <c r="A179" s="3" t="s">
        <v>634</v>
      </c>
      <c r="B179" s="4" t="s">
        <v>13</v>
      </c>
      <c r="C179" s="4" t="s">
        <v>635</v>
      </c>
      <c r="D179" s="4" t="s">
        <v>141</v>
      </c>
      <c r="E179" s="4" t="s">
        <v>142</v>
      </c>
      <c r="F179" s="4">
        <v>6300.0</v>
      </c>
      <c r="G179" s="3" t="s">
        <v>620</v>
      </c>
      <c r="H179" s="3" t="s">
        <v>249</v>
      </c>
      <c r="I179" s="4" t="s">
        <v>629</v>
      </c>
      <c r="J179" s="4" t="s">
        <v>20</v>
      </c>
      <c r="L179" s="4" t="s">
        <v>636</v>
      </c>
      <c r="U179" s="4">
        <v>11.0</v>
      </c>
    </row>
    <row r="180">
      <c r="A180" s="3" t="s">
        <v>637</v>
      </c>
      <c r="B180" s="4" t="s">
        <v>13</v>
      </c>
      <c r="C180" s="4" t="s">
        <v>638</v>
      </c>
      <c r="D180" s="4" t="s">
        <v>369</v>
      </c>
      <c r="E180" s="4" t="s">
        <v>370</v>
      </c>
      <c r="F180" s="4">
        <v>5100.0</v>
      </c>
      <c r="G180" s="3" t="s">
        <v>552</v>
      </c>
      <c r="H180" s="3" t="s">
        <v>249</v>
      </c>
      <c r="I180" s="4" t="s">
        <v>629</v>
      </c>
      <c r="J180" s="4" t="s">
        <v>20</v>
      </c>
      <c r="L180" s="4" t="s">
        <v>639</v>
      </c>
      <c r="U180" s="4">
        <v>11.0</v>
      </c>
    </row>
    <row r="181">
      <c r="A181" s="3" t="s">
        <v>640</v>
      </c>
      <c r="B181" s="4" t="s">
        <v>13</v>
      </c>
      <c r="C181" s="4" t="s">
        <v>641</v>
      </c>
      <c r="D181" s="4" t="s">
        <v>369</v>
      </c>
      <c r="E181" s="4" t="s">
        <v>370</v>
      </c>
      <c r="F181" s="4">
        <v>5100.0</v>
      </c>
      <c r="G181" s="3" t="s">
        <v>552</v>
      </c>
      <c r="H181" s="3" t="s">
        <v>249</v>
      </c>
      <c r="I181" s="4" t="s">
        <v>629</v>
      </c>
      <c r="J181" s="4" t="s">
        <v>20</v>
      </c>
      <c r="L181" s="4" t="s">
        <v>642</v>
      </c>
      <c r="U181" s="4">
        <v>11.0</v>
      </c>
    </row>
    <row r="182">
      <c r="A182" s="3" t="s">
        <v>643</v>
      </c>
      <c r="B182" s="4" t="s">
        <v>13</v>
      </c>
      <c r="C182" s="4" t="s">
        <v>644</v>
      </c>
      <c r="D182" s="4" t="s">
        <v>369</v>
      </c>
      <c r="E182" s="4" t="s">
        <v>370</v>
      </c>
      <c r="F182" s="4">
        <v>5100.0</v>
      </c>
      <c r="G182" s="3" t="s">
        <v>552</v>
      </c>
      <c r="H182" s="3" t="s">
        <v>249</v>
      </c>
      <c r="I182" s="4" t="s">
        <v>629</v>
      </c>
      <c r="L182" s="4" t="s">
        <v>645</v>
      </c>
      <c r="U182" s="4">
        <v>11.0</v>
      </c>
    </row>
    <row r="183">
      <c r="A183" s="3" t="s">
        <v>646</v>
      </c>
      <c r="B183" s="4" t="s">
        <v>13</v>
      </c>
      <c r="C183" s="4" t="s">
        <v>647</v>
      </c>
      <c r="D183" s="4" t="s">
        <v>551</v>
      </c>
      <c r="E183" s="4" t="s">
        <v>270</v>
      </c>
      <c r="F183" s="4">
        <v>4200.0</v>
      </c>
      <c r="G183" s="3" t="s">
        <v>552</v>
      </c>
      <c r="H183" s="3" t="s">
        <v>249</v>
      </c>
      <c r="I183" s="4" t="s">
        <v>629</v>
      </c>
      <c r="L183" s="4" t="s">
        <v>648</v>
      </c>
      <c r="U183" s="4">
        <v>11.0</v>
      </c>
    </row>
    <row r="184">
      <c r="A184" s="3" t="s">
        <v>649</v>
      </c>
      <c r="B184" s="4" t="s">
        <v>13</v>
      </c>
      <c r="C184" s="4" t="s">
        <v>650</v>
      </c>
      <c r="D184" s="4" t="s">
        <v>141</v>
      </c>
      <c r="E184" s="4" t="s">
        <v>142</v>
      </c>
      <c r="F184" s="4">
        <v>6900.0</v>
      </c>
      <c r="G184" s="3" t="s">
        <v>552</v>
      </c>
      <c r="H184" s="3" t="s">
        <v>228</v>
      </c>
      <c r="I184" s="4" t="s">
        <v>629</v>
      </c>
      <c r="J184" s="4" t="s">
        <v>20</v>
      </c>
      <c r="L184" s="4" t="s">
        <v>651</v>
      </c>
      <c r="U184" s="4">
        <v>11.0</v>
      </c>
    </row>
    <row r="185">
      <c r="A185" s="3" t="s">
        <v>652</v>
      </c>
      <c r="B185" s="4" t="s">
        <v>13</v>
      </c>
      <c r="C185" s="4" t="s">
        <v>653</v>
      </c>
      <c r="D185" s="4" t="s">
        <v>141</v>
      </c>
      <c r="E185" s="4" t="s">
        <v>142</v>
      </c>
      <c r="F185" s="4">
        <v>6900.0</v>
      </c>
      <c r="G185" s="3" t="s">
        <v>552</v>
      </c>
      <c r="H185" s="3" t="s">
        <v>228</v>
      </c>
      <c r="I185" s="4" t="s">
        <v>654</v>
      </c>
      <c r="J185" s="4" t="s">
        <v>20</v>
      </c>
      <c r="L185" s="4" t="s">
        <v>655</v>
      </c>
      <c r="U185" s="4">
        <v>11.0</v>
      </c>
    </row>
    <row r="186">
      <c r="A186" s="3" t="s">
        <v>656</v>
      </c>
      <c r="B186" s="4" t="s">
        <v>13</v>
      </c>
      <c r="C186" s="4" t="s">
        <v>657</v>
      </c>
      <c r="D186" s="4" t="s">
        <v>141</v>
      </c>
      <c r="E186" s="4" t="s">
        <v>142</v>
      </c>
      <c r="F186" s="4">
        <v>6900.0</v>
      </c>
      <c r="G186" s="3" t="s">
        <v>552</v>
      </c>
      <c r="H186" s="3" t="s">
        <v>228</v>
      </c>
      <c r="I186" s="4" t="s">
        <v>658</v>
      </c>
      <c r="J186" s="4" t="s">
        <v>20</v>
      </c>
      <c r="L186" s="4" t="s">
        <v>659</v>
      </c>
      <c r="U186" s="4">
        <v>11.0</v>
      </c>
    </row>
    <row r="187">
      <c r="A187" s="3" t="s">
        <v>660</v>
      </c>
      <c r="B187" s="4" t="s">
        <v>13</v>
      </c>
      <c r="C187" s="4" t="s">
        <v>661</v>
      </c>
      <c r="D187" s="4" t="s">
        <v>551</v>
      </c>
      <c r="E187" s="4" t="s">
        <v>270</v>
      </c>
      <c r="F187" s="4">
        <v>4200.0</v>
      </c>
      <c r="G187" s="3" t="s">
        <v>552</v>
      </c>
      <c r="H187" s="3" t="s">
        <v>249</v>
      </c>
      <c r="I187" s="4" t="s">
        <v>662</v>
      </c>
      <c r="L187" s="4" t="s">
        <v>663</v>
      </c>
      <c r="U187" s="4">
        <v>11.0</v>
      </c>
    </row>
    <row r="188">
      <c r="A188" s="3" t="s">
        <v>664</v>
      </c>
      <c r="B188" s="4" t="s">
        <v>13</v>
      </c>
      <c r="C188" s="4" t="s">
        <v>665</v>
      </c>
      <c r="D188" s="4" t="s">
        <v>551</v>
      </c>
      <c r="E188" s="4" t="s">
        <v>270</v>
      </c>
      <c r="F188" s="4">
        <v>4200.0</v>
      </c>
      <c r="G188" s="3" t="s">
        <v>552</v>
      </c>
      <c r="H188" s="3" t="s">
        <v>249</v>
      </c>
      <c r="I188" s="4" t="s">
        <v>666</v>
      </c>
      <c r="L188" s="4" t="s">
        <v>667</v>
      </c>
      <c r="U188" s="4">
        <v>11.0</v>
      </c>
    </row>
    <row r="189">
      <c r="A189" s="3" t="s">
        <v>668</v>
      </c>
      <c r="B189" s="4" t="s">
        <v>13</v>
      </c>
      <c r="C189" s="4" t="s">
        <v>669</v>
      </c>
      <c r="D189" s="4" t="s">
        <v>565</v>
      </c>
      <c r="E189" s="4" t="s">
        <v>566</v>
      </c>
      <c r="F189" s="4">
        <v>4400.0</v>
      </c>
      <c r="G189" s="3" t="s">
        <v>155</v>
      </c>
      <c r="H189" s="3" t="s">
        <v>249</v>
      </c>
      <c r="I189" s="4" t="s">
        <v>670</v>
      </c>
      <c r="L189" s="4" t="s">
        <v>671</v>
      </c>
      <c r="U189" s="4">
        <v>11.0</v>
      </c>
    </row>
    <row r="190">
      <c r="A190" s="3" t="s">
        <v>672</v>
      </c>
      <c r="B190" s="4" t="s">
        <v>13</v>
      </c>
      <c r="C190" s="4" t="s">
        <v>673</v>
      </c>
      <c r="D190" s="4" t="s">
        <v>565</v>
      </c>
      <c r="E190" s="4" t="s">
        <v>566</v>
      </c>
      <c r="F190" s="4">
        <v>4800.0</v>
      </c>
      <c r="G190" s="3" t="s">
        <v>155</v>
      </c>
      <c r="H190" s="3" t="s">
        <v>249</v>
      </c>
      <c r="I190" s="4" t="s">
        <v>674</v>
      </c>
      <c r="L190" s="4" t="s">
        <v>675</v>
      </c>
      <c r="U190" s="4">
        <v>11.0</v>
      </c>
    </row>
    <row r="191">
      <c r="A191" s="3" t="s">
        <v>676</v>
      </c>
      <c r="B191" s="4" t="s">
        <v>13</v>
      </c>
      <c r="C191" s="4" t="s">
        <v>677</v>
      </c>
      <c r="D191" s="4" t="s">
        <v>678</v>
      </c>
      <c r="E191" s="4" t="s">
        <v>53</v>
      </c>
      <c r="F191" s="4">
        <v>4000.0</v>
      </c>
      <c r="G191" s="3" t="s">
        <v>506</v>
      </c>
      <c r="H191" s="3" t="s">
        <v>249</v>
      </c>
      <c r="I191" s="4" t="s">
        <v>499</v>
      </c>
      <c r="L191" s="4" t="s">
        <v>679</v>
      </c>
      <c r="U191" s="4">
        <v>11.0</v>
      </c>
    </row>
    <row r="192">
      <c r="A192" s="11"/>
      <c r="G192" s="11"/>
      <c r="H192" s="11"/>
    </row>
    <row r="193">
      <c r="A193" s="11"/>
      <c r="G193" s="11"/>
      <c r="H193" s="11"/>
    </row>
    <row r="194">
      <c r="A194" s="11"/>
      <c r="G194" s="11"/>
      <c r="H194" s="11"/>
    </row>
    <row r="195">
      <c r="A195" s="11"/>
      <c r="G195" s="11"/>
      <c r="H195" s="11"/>
    </row>
    <row r="196">
      <c r="A196" s="11"/>
      <c r="G196" s="11"/>
      <c r="H196" s="11"/>
    </row>
    <row r="197">
      <c r="A197" s="11"/>
      <c r="G197" s="11"/>
      <c r="H197" s="11"/>
    </row>
    <row r="198">
      <c r="A198" s="11"/>
      <c r="G198" s="11"/>
      <c r="H198" s="11"/>
    </row>
    <row r="199">
      <c r="A199" s="11"/>
      <c r="G199" s="11"/>
      <c r="H199" s="11"/>
    </row>
    <row r="200">
      <c r="A200" s="11"/>
      <c r="G200" s="11"/>
      <c r="H200" s="11"/>
    </row>
    <row r="201">
      <c r="A201" s="11"/>
      <c r="G201" s="11"/>
      <c r="H201" s="11"/>
    </row>
    <row r="202">
      <c r="A202" s="11"/>
      <c r="G202" s="11"/>
      <c r="H202" s="11"/>
    </row>
    <row r="203">
      <c r="A203" s="11"/>
      <c r="G203" s="11"/>
      <c r="H203" s="11"/>
    </row>
    <row r="204">
      <c r="A204" s="11"/>
      <c r="G204" s="11"/>
      <c r="H204" s="11"/>
    </row>
    <row r="205">
      <c r="A205" s="11"/>
      <c r="G205" s="11"/>
      <c r="H205" s="11"/>
    </row>
    <row r="206">
      <c r="A206" s="11"/>
      <c r="G206" s="11"/>
      <c r="H206" s="11"/>
    </row>
    <row r="207">
      <c r="A207" s="11"/>
      <c r="G207" s="11"/>
      <c r="H207" s="11"/>
    </row>
    <row r="208">
      <c r="A208" s="11"/>
      <c r="G208" s="11"/>
      <c r="H208" s="11"/>
    </row>
    <row r="209">
      <c r="A209" s="11"/>
      <c r="G209" s="11"/>
      <c r="H209" s="11"/>
    </row>
    <row r="210">
      <c r="A210" s="11"/>
      <c r="G210" s="11"/>
      <c r="H210" s="11"/>
    </row>
    <row r="211">
      <c r="A211" s="11"/>
      <c r="G211" s="11"/>
      <c r="H211" s="11"/>
    </row>
    <row r="212">
      <c r="A212" s="11"/>
      <c r="G212" s="11"/>
      <c r="H212" s="11"/>
    </row>
    <row r="213">
      <c r="A213" s="11"/>
      <c r="G213" s="11"/>
      <c r="H213" s="11"/>
    </row>
    <row r="214">
      <c r="A214" s="11"/>
      <c r="G214" s="11"/>
      <c r="H214" s="11"/>
    </row>
    <row r="215">
      <c r="A215" s="11"/>
      <c r="G215" s="11"/>
      <c r="H215" s="11"/>
    </row>
    <row r="216">
      <c r="A216" s="11"/>
      <c r="G216" s="11"/>
      <c r="H216" s="11"/>
    </row>
    <row r="217">
      <c r="A217" s="11"/>
      <c r="G217" s="11"/>
      <c r="H217" s="11"/>
    </row>
    <row r="218">
      <c r="A218" s="11"/>
      <c r="G218" s="11"/>
      <c r="H218" s="11"/>
    </row>
    <row r="219">
      <c r="A219" s="11"/>
      <c r="G219" s="11"/>
      <c r="H219" s="11"/>
    </row>
    <row r="220">
      <c r="A220" s="11"/>
      <c r="G220" s="11"/>
      <c r="H220" s="11"/>
    </row>
    <row r="221">
      <c r="A221" s="11"/>
      <c r="G221" s="11"/>
      <c r="H221" s="11"/>
    </row>
    <row r="222">
      <c r="A222" s="11"/>
      <c r="G222" s="11"/>
      <c r="H222" s="11"/>
    </row>
    <row r="223">
      <c r="A223" s="11"/>
      <c r="G223" s="11"/>
      <c r="H223" s="11"/>
    </row>
    <row r="224">
      <c r="A224" s="11"/>
      <c r="G224" s="11"/>
      <c r="H224" s="11"/>
    </row>
    <row r="225">
      <c r="A225" s="11"/>
      <c r="G225" s="11"/>
      <c r="H225" s="11"/>
    </row>
    <row r="226">
      <c r="A226" s="11"/>
      <c r="G226" s="11"/>
      <c r="H226" s="11"/>
    </row>
    <row r="227">
      <c r="A227" s="11"/>
      <c r="G227" s="11"/>
      <c r="H227" s="11"/>
    </row>
    <row r="228">
      <c r="A228" s="11"/>
      <c r="G228" s="11"/>
      <c r="H228" s="11"/>
    </row>
    <row r="229">
      <c r="A229" s="11"/>
      <c r="G229" s="11"/>
      <c r="H229" s="11"/>
    </row>
    <row r="230">
      <c r="A230" s="11"/>
      <c r="G230" s="11"/>
      <c r="H230" s="11"/>
    </row>
    <row r="231">
      <c r="A231" s="11"/>
      <c r="G231" s="11"/>
      <c r="H231" s="11"/>
    </row>
    <row r="232">
      <c r="A232" s="11"/>
      <c r="G232" s="11"/>
      <c r="H232" s="11"/>
    </row>
    <row r="233">
      <c r="A233" s="11"/>
      <c r="G233" s="11"/>
      <c r="H233" s="11"/>
    </row>
    <row r="234">
      <c r="A234" s="11"/>
      <c r="G234" s="11"/>
      <c r="H234" s="11"/>
    </row>
    <row r="235">
      <c r="A235" s="11"/>
      <c r="G235" s="11"/>
      <c r="H235" s="11"/>
    </row>
    <row r="236">
      <c r="A236" s="11"/>
      <c r="G236" s="11"/>
      <c r="H236" s="11"/>
    </row>
    <row r="237">
      <c r="A237" s="11"/>
      <c r="G237" s="11"/>
      <c r="H237" s="11"/>
    </row>
    <row r="238">
      <c r="A238" s="11"/>
      <c r="G238" s="11"/>
      <c r="H238" s="11"/>
    </row>
    <row r="239">
      <c r="A239" s="11"/>
      <c r="G239" s="11"/>
      <c r="H239" s="11"/>
    </row>
    <row r="240">
      <c r="A240" s="11"/>
      <c r="G240" s="11"/>
      <c r="H240" s="11"/>
    </row>
    <row r="241">
      <c r="A241" s="11"/>
      <c r="G241" s="11"/>
      <c r="H241" s="11"/>
    </row>
    <row r="242">
      <c r="A242" s="11"/>
      <c r="G242" s="11"/>
      <c r="H242" s="11"/>
    </row>
    <row r="243">
      <c r="A243" s="11"/>
      <c r="G243" s="11"/>
      <c r="H243" s="11"/>
    </row>
    <row r="244">
      <c r="A244" s="11"/>
      <c r="G244" s="11"/>
      <c r="H244" s="11"/>
    </row>
    <row r="245">
      <c r="A245" s="11"/>
      <c r="G245" s="11"/>
      <c r="H245" s="11"/>
    </row>
    <row r="246">
      <c r="A246" s="11"/>
      <c r="G246" s="11"/>
      <c r="H246" s="11"/>
    </row>
    <row r="247">
      <c r="A247" s="11"/>
      <c r="G247" s="11"/>
      <c r="H247" s="11"/>
    </row>
    <row r="248">
      <c r="A248" s="11"/>
      <c r="G248" s="11"/>
      <c r="H248" s="11"/>
    </row>
    <row r="249">
      <c r="A249" s="11"/>
      <c r="G249" s="11"/>
      <c r="H249" s="11"/>
    </row>
    <row r="250">
      <c r="A250" s="11"/>
      <c r="G250" s="11"/>
      <c r="H250" s="11"/>
    </row>
    <row r="251">
      <c r="A251" s="11"/>
      <c r="G251" s="11"/>
      <c r="H251" s="11"/>
    </row>
    <row r="252">
      <c r="A252" s="11"/>
      <c r="G252" s="11"/>
      <c r="H252" s="11"/>
    </row>
    <row r="253">
      <c r="A253" s="11"/>
      <c r="G253" s="11"/>
      <c r="H253" s="11"/>
    </row>
    <row r="254">
      <c r="A254" s="11"/>
      <c r="G254" s="11"/>
      <c r="H254" s="11"/>
    </row>
    <row r="255">
      <c r="A255" s="11"/>
      <c r="G255" s="11"/>
      <c r="H255" s="11"/>
    </row>
    <row r="256">
      <c r="A256" s="11"/>
      <c r="G256" s="11"/>
      <c r="H256" s="11"/>
    </row>
    <row r="257">
      <c r="A257" s="11"/>
      <c r="G257" s="11"/>
      <c r="H257" s="11"/>
    </row>
    <row r="258">
      <c r="A258" s="11"/>
      <c r="G258" s="11"/>
      <c r="H258" s="11"/>
    </row>
    <row r="259">
      <c r="A259" s="11"/>
      <c r="G259" s="11"/>
      <c r="H259" s="11"/>
    </row>
    <row r="260">
      <c r="A260" s="11"/>
      <c r="G260" s="11"/>
      <c r="H260" s="11"/>
    </row>
    <row r="261">
      <c r="A261" s="11"/>
      <c r="G261" s="11"/>
      <c r="H261" s="11"/>
    </row>
    <row r="262">
      <c r="A262" s="11"/>
      <c r="G262" s="11"/>
      <c r="H262" s="11"/>
    </row>
    <row r="263">
      <c r="A263" s="11"/>
      <c r="G263" s="11"/>
      <c r="H263" s="11"/>
    </row>
    <row r="264">
      <c r="A264" s="11"/>
      <c r="G264" s="11"/>
      <c r="H264" s="11"/>
    </row>
    <row r="265">
      <c r="A265" s="11"/>
      <c r="G265" s="11"/>
      <c r="H265" s="11"/>
    </row>
    <row r="266">
      <c r="A266" s="11"/>
      <c r="G266" s="11"/>
      <c r="H266" s="11"/>
    </row>
    <row r="267">
      <c r="A267" s="11"/>
      <c r="G267" s="11"/>
      <c r="H267" s="11"/>
    </row>
    <row r="268">
      <c r="A268" s="11"/>
      <c r="G268" s="11"/>
      <c r="H268" s="11"/>
    </row>
    <row r="269">
      <c r="A269" s="11"/>
      <c r="G269" s="11"/>
      <c r="H269" s="11"/>
    </row>
    <row r="270">
      <c r="A270" s="11"/>
      <c r="G270" s="11"/>
      <c r="H270" s="11"/>
    </row>
    <row r="271">
      <c r="A271" s="11"/>
      <c r="G271" s="11"/>
      <c r="H271" s="11"/>
    </row>
    <row r="272">
      <c r="A272" s="11"/>
      <c r="G272" s="11"/>
      <c r="H272" s="11"/>
    </row>
    <row r="273">
      <c r="A273" s="11"/>
      <c r="G273" s="11"/>
      <c r="H273" s="11"/>
    </row>
    <row r="274">
      <c r="A274" s="11"/>
      <c r="G274" s="11"/>
      <c r="H274" s="11"/>
    </row>
    <row r="275">
      <c r="A275" s="11"/>
      <c r="G275" s="11"/>
      <c r="H275" s="11"/>
    </row>
    <row r="276">
      <c r="A276" s="11"/>
      <c r="G276" s="11"/>
      <c r="H276" s="11"/>
    </row>
    <row r="277">
      <c r="A277" s="11"/>
      <c r="G277" s="11"/>
      <c r="H277" s="11"/>
    </row>
    <row r="278">
      <c r="A278" s="11"/>
      <c r="G278" s="11"/>
      <c r="H278" s="11"/>
    </row>
    <row r="279">
      <c r="A279" s="11"/>
      <c r="G279" s="11"/>
      <c r="H279" s="11"/>
    </row>
    <row r="280">
      <c r="A280" s="11"/>
      <c r="G280" s="11"/>
      <c r="H280" s="11"/>
    </row>
    <row r="281">
      <c r="A281" s="11"/>
      <c r="G281" s="11"/>
      <c r="H281" s="11"/>
    </row>
    <row r="282">
      <c r="A282" s="11"/>
      <c r="G282" s="11"/>
      <c r="H282" s="11"/>
    </row>
    <row r="283">
      <c r="A283" s="11"/>
      <c r="G283" s="11"/>
      <c r="H283" s="11"/>
    </row>
    <row r="284">
      <c r="A284" s="11"/>
      <c r="G284" s="11"/>
      <c r="H284" s="11"/>
    </row>
    <row r="285">
      <c r="A285" s="11"/>
      <c r="G285" s="11"/>
      <c r="H285" s="11"/>
    </row>
    <row r="286">
      <c r="A286" s="11"/>
      <c r="G286" s="11"/>
      <c r="H286" s="11"/>
    </row>
    <row r="287">
      <c r="A287" s="11"/>
      <c r="G287" s="11"/>
      <c r="H287" s="11"/>
    </row>
    <row r="288">
      <c r="A288" s="11"/>
      <c r="G288" s="11"/>
      <c r="H288" s="11"/>
    </row>
    <row r="289">
      <c r="A289" s="11"/>
      <c r="G289" s="11"/>
      <c r="H289" s="11"/>
    </row>
    <row r="290">
      <c r="A290" s="11"/>
      <c r="G290" s="11"/>
      <c r="H290" s="11"/>
    </row>
    <row r="291">
      <c r="A291" s="11"/>
      <c r="G291" s="11"/>
      <c r="H291" s="11"/>
    </row>
    <row r="292">
      <c r="A292" s="11"/>
      <c r="G292" s="11"/>
      <c r="H292" s="11"/>
    </row>
    <row r="293">
      <c r="A293" s="11"/>
      <c r="G293" s="11"/>
      <c r="H293" s="11"/>
    </row>
    <row r="294">
      <c r="A294" s="11"/>
      <c r="G294" s="11"/>
      <c r="H294" s="11"/>
    </row>
    <row r="295">
      <c r="A295" s="11"/>
      <c r="G295" s="11"/>
      <c r="H295" s="11"/>
    </row>
    <row r="296">
      <c r="A296" s="11"/>
      <c r="G296" s="11"/>
      <c r="H296" s="11"/>
    </row>
    <row r="297">
      <c r="A297" s="11"/>
      <c r="G297" s="11"/>
      <c r="H297" s="11"/>
    </row>
    <row r="298">
      <c r="A298" s="11"/>
      <c r="G298" s="11"/>
      <c r="H298" s="11"/>
    </row>
    <row r="299">
      <c r="A299" s="11"/>
      <c r="G299" s="11"/>
      <c r="H299" s="11"/>
    </row>
    <row r="300">
      <c r="A300" s="11"/>
      <c r="G300" s="11"/>
      <c r="H300" s="11"/>
    </row>
    <row r="301">
      <c r="A301" s="11"/>
      <c r="G301" s="11"/>
      <c r="H301" s="11"/>
    </row>
    <row r="302">
      <c r="A302" s="11"/>
      <c r="G302" s="11"/>
      <c r="H302" s="11"/>
    </row>
    <row r="303">
      <c r="A303" s="11"/>
      <c r="G303" s="11"/>
      <c r="H303" s="11"/>
    </row>
    <row r="304">
      <c r="A304" s="11"/>
      <c r="G304" s="11"/>
      <c r="H304" s="11"/>
    </row>
    <row r="305">
      <c r="A305" s="11"/>
      <c r="G305" s="11"/>
      <c r="H305" s="11"/>
    </row>
    <row r="306">
      <c r="A306" s="11"/>
      <c r="G306" s="11"/>
      <c r="H306" s="11"/>
    </row>
    <row r="307">
      <c r="A307" s="11"/>
      <c r="G307" s="11"/>
      <c r="H307" s="11"/>
    </row>
    <row r="308">
      <c r="A308" s="11"/>
      <c r="G308" s="11"/>
      <c r="H308" s="11"/>
    </row>
    <row r="309">
      <c r="A309" s="11"/>
      <c r="G309" s="11"/>
      <c r="H309" s="11"/>
    </row>
    <row r="310">
      <c r="A310" s="11"/>
      <c r="G310" s="11"/>
      <c r="H310" s="11"/>
    </row>
    <row r="311">
      <c r="A311" s="11"/>
      <c r="G311" s="11"/>
      <c r="H311" s="11"/>
    </row>
    <row r="312">
      <c r="A312" s="11"/>
      <c r="G312" s="11"/>
      <c r="H312" s="11"/>
    </row>
    <row r="313">
      <c r="A313" s="11"/>
      <c r="G313" s="11"/>
      <c r="H313" s="11"/>
    </row>
    <row r="314">
      <c r="A314" s="11"/>
      <c r="G314" s="11"/>
      <c r="H314" s="11"/>
    </row>
    <row r="315">
      <c r="A315" s="11"/>
      <c r="G315" s="11"/>
      <c r="H315" s="11"/>
    </row>
    <row r="316">
      <c r="A316" s="11"/>
      <c r="G316" s="11"/>
      <c r="H316" s="11"/>
    </row>
    <row r="317">
      <c r="A317" s="11"/>
      <c r="G317" s="11"/>
      <c r="H317" s="11"/>
    </row>
    <row r="318">
      <c r="A318" s="11"/>
      <c r="G318" s="11"/>
      <c r="H318" s="11"/>
    </row>
    <row r="319">
      <c r="A319" s="11"/>
      <c r="G319" s="11"/>
      <c r="H319" s="11"/>
    </row>
    <row r="320">
      <c r="A320" s="11"/>
      <c r="G320" s="11"/>
      <c r="H320" s="11"/>
    </row>
    <row r="321">
      <c r="A321" s="11"/>
      <c r="G321" s="11"/>
      <c r="H321" s="11"/>
    </row>
    <row r="322">
      <c r="A322" s="11"/>
      <c r="G322" s="11"/>
      <c r="H322" s="11"/>
    </row>
    <row r="323">
      <c r="A323" s="11"/>
      <c r="G323" s="11"/>
      <c r="H323" s="11"/>
    </row>
    <row r="324">
      <c r="A324" s="11"/>
      <c r="G324" s="11"/>
      <c r="H324" s="11"/>
    </row>
    <row r="325">
      <c r="A325" s="11"/>
      <c r="G325" s="11"/>
      <c r="H325" s="11"/>
    </row>
    <row r="326">
      <c r="A326" s="11"/>
      <c r="G326" s="11"/>
      <c r="H326" s="11"/>
    </row>
    <row r="327">
      <c r="A327" s="11"/>
      <c r="G327" s="11"/>
      <c r="H327" s="11"/>
    </row>
    <row r="328">
      <c r="A328" s="11"/>
      <c r="G328" s="11"/>
      <c r="H328" s="11"/>
    </row>
    <row r="329">
      <c r="A329" s="11"/>
      <c r="G329" s="11"/>
      <c r="H329" s="11"/>
    </row>
    <row r="330">
      <c r="A330" s="11"/>
      <c r="G330" s="11"/>
      <c r="H330" s="11"/>
    </row>
    <row r="331">
      <c r="A331" s="11"/>
      <c r="G331" s="11"/>
      <c r="H331" s="11"/>
    </row>
    <row r="332">
      <c r="A332" s="11"/>
      <c r="G332" s="11"/>
      <c r="H332" s="11"/>
    </row>
    <row r="333">
      <c r="A333" s="11"/>
      <c r="G333" s="11"/>
      <c r="H333" s="11"/>
    </row>
    <row r="334">
      <c r="A334" s="11"/>
      <c r="G334" s="11"/>
      <c r="H334" s="11"/>
    </row>
    <row r="335">
      <c r="A335" s="11"/>
      <c r="G335" s="11"/>
      <c r="H335" s="11"/>
    </row>
    <row r="336">
      <c r="A336" s="11"/>
      <c r="G336" s="11"/>
      <c r="H336" s="11"/>
    </row>
    <row r="337">
      <c r="A337" s="11"/>
      <c r="G337" s="11"/>
      <c r="H337" s="11"/>
    </row>
    <row r="338">
      <c r="A338" s="11"/>
      <c r="G338" s="11"/>
      <c r="H338" s="11"/>
    </row>
    <row r="339">
      <c r="A339" s="11"/>
      <c r="G339" s="11"/>
      <c r="H339" s="11"/>
    </row>
    <row r="340">
      <c r="A340" s="11"/>
      <c r="G340" s="11"/>
      <c r="H340" s="11"/>
    </row>
    <row r="341">
      <c r="A341" s="11"/>
      <c r="G341" s="11"/>
      <c r="H341" s="11"/>
    </row>
    <row r="342">
      <c r="A342" s="11"/>
      <c r="G342" s="11"/>
      <c r="H342" s="11"/>
    </row>
    <row r="343">
      <c r="A343" s="11"/>
      <c r="G343" s="11"/>
      <c r="H343" s="11"/>
    </row>
    <row r="344">
      <c r="A344" s="11"/>
      <c r="G344" s="11"/>
      <c r="H344" s="11"/>
    </row>
    <row r="345">
      <c r="A345" s="11"/>
      <c r="G345" s="11"/>
      <c r="H345" s="11"/>
    </row>
    <row r="346">
      <c r="A346" s="11"/>
      <c r="G346" s="11"/>
      <c r="H346" s="11"/>
    </row>
    <row r="347">
      <c r="A347" s="11"/>
      <c r="G347" s="11"/>
      <c r="H347" s="11"/>
    </row>
    <row r="348">
      <c r="A348" s="11"/>
      <c r="G348" s="11"/>
      <c r="H348" s="11"/>
    </row>
    <row r="349">
      <c r="A349" s="11"/>
      <c r="G349" s="11"/>
      <c r="H349" s="11"/>
    </row>
    <row r="350">
      <c r="A350" s="11"/>
      <c r="G350" s="11"/>
      <c r="H350" s="11"/>
    </row>
    <row r="351">
      <c r="A351" s="11"/>
      <c r="G351" s="11"/>
      <c r="H351" s="11"/>
    </row>
    <row r="352">
      <c r="A352" s="11"/>
      <c r="G352" s="11"/>
      <c r="H352" s="11"/>
    </row>
    <row r="353">
      <c r="A353" s="11"/>
      <c r="G353" s="11"/>
      <c r="H353" s="11"/>
    </row>
    <row r="354">
      <c r="A354" s="11"/>
      <c r="G354" s="11"/>
      <c r="H354" s="11"/>
    </row>
    <row r="355">
      <c r="A355" s="11"/>
      <c r="G355" s="11"/>
      <c r="H355" s="11"/>
    </row>
    <row r="356">
      <c r="A356" s="11"/>
      <c r="G356" s="11"/>
      <c r="H356" s="11"/>
    </row>
    <row r="357">
      <c r="A357" s="11"/>
      <c r="G357" s="11"/>
      <c r="H357" s="11"/>
    </row>
    <row r="358">
      <c r="A358" s="11"/>
      <c r="G358" s="11"/>
      <c r="H358" s="11"/>
    </row>
    <row r="359">
      <c r="A359" s="11"/>
      <c r="G359" s="11"/>
      <c r="H359" s="11"/>
    </row>
    <row r="360">
      <c r="A360" s="11"/>
      <c r="G360" s="11"/>
      <c r="H360" s="11"/>
    </row>
    <row r="361">
      <c r="A361" s="11"/>
      <c r="G361" s="11"/>
      <c r="H361" s="11"/>
    </row>
    <row r="362">
      <c r="A362" s="11"/>
      <c r="G362" s="11"/>
      <c r="H362" s="11"/>
    </row>
    <row r="363">
      <c r="A363" s="11"/>
      <c r="G363" s="11"/>
      <c r="H363" s="11"/>
    </row>
    <row r="364">
      <c r="A364" s="11"/>
      <c r="G364" s="11"/>
      <c r="H364" s="11"/>
    </row>
    <row r="365">
      <c r="A365" s="11"/>
      <c r="G365" s="11"/>
      <c r="H365" s="11"/>
    </row>
    <row r="366">
      <c r="A366" s="11"/>
      <c r="G366" s="11"/>
      <c r="H366" s="11"/>
    </row>
    <row r="367">
      <c r="A367" s="11"/>
      <c r="G367" s="11"/>
      <c r="H367" s="11"/>
    </row>
    <row r="368">
      <c r="A368" s="11"/>
      <c r="G368" s="11"/>
      <c r="H368" s="11"/>
    </row>
    <row r="369">
      <c r="A369" s="11"/>
      <c r="G369" s="11"/>
      <c r="H369" s="11"/>
    </row>
    <row r="370">
      <c r="A370" s="11"/>
      <c r="G370" s="11"/>
      <c r="H370" s="11"/>
    </row>
    <row r="371">
      <c r="A371" s="11"/>
      <c r="G371" s="11"/>
      <c r="H371" s="11"/>
    </row>
    <row r="372">
      <c r="A372" s="11"/>
      <c r="G372" s="11"/>
      <c r="H372" s="11"/>
    </row>
    <row r="373">
      <c r="A373" s="11"/>
      <c r="G373" s="11"/>
      <c r="H373" s="11"/>
    </row>
    <row r="374">
      <c r="A374" s="11"/>
      <c r="G374" s="11"/>
      <c r="H374" s="11"/>
    </row>
    <row r="375">
      <c r="A375" s="11"/>
      <c r="G375" s="11"/>
      <c r="H375" s="11"/>
    </row>
    <row r="376">
      <c r="A376" s="11"/>
      <c r="G376" s="11"/>
      <c r="H376" s="11"/>
    </row>
    <row r="377">
      <c r="A377" s="11"/>
      <c r="G377" s="11"/>
      <c r="H377" s="11"/>
    </row>
    <row r="378">
      <c r="A378" s="11"/>
      <c r="G378" s="11"/>
      <c r="H378" s="11"/>
    </row>
    <row r="379">
      <c r="A379" s="11"/>
      <c r="G379" s="11"/>
      <c r="H379" s="11"/>
    </row>
    <row r="380">
      <c r="A380" s="11"/>
      <c r="G380" s="11"/>
      <c r="H380" s="11"/>
    </row>
    <row r="381">
      <c r="A381" s="11"/>
      <c r="G381" s="11"/>
      <c r="H381" s="11"/>
    </row>
    <row r="382">
      <c r="A382" s="11"/>
      <c r="G382" s="11"/>
      <c r="H382" s="11"/>
    </row>
    <row r="383">
      <c r="A383" s="11"/>
      <c r="G383" s="11"/>
      <c r="H383" s="11"/>
    </row>
    <row r="384">
      <c r="A384" s="11"/>
      <c r="G384" s="11"/>
      <c r="H384" s="11"/>
    </row>
    <row r="385">
      <c r="A385" s="11"/>
      <c r="G385" s="11"/>
      <c r="H385" s="11"/>
    </row>
    <row r="386">
      <c r="A386" s="11"/>
      <c r="G386" s="11"/>
      <c r="H386" s="11"/>
    </row>
    <row r="387">
      <c r="A387" s="11"/>
      <c r="G387" s="11"/>
      <c r="H387" s="11"/>
    </row>
    <row r="388">
      <c r="A388" s="11"/>
      <c r="G388" s="11"/>
      <c r="H388" s="11"/>
    </row>
    <row r="389">
      <c r="A389" s="11"/>
      <c r="G389" s="11"/>
      <c r="H389" s="11"/>
    </row>
    <row r="390">
      <c r="A390" s="11"/>
      <c r="G390" s="11"/>
      <c r="H390" s="11"/>
    </row>
    <row r="391">
      <c r="A391" s="11"/>
      <c r="G391" s="11"/>
      <c r="H391" s="11"/>
    </row>
    <row r="392">
      <c r="A392" s="11"/>
      <c r="G392" s="11"/>
      <c r="H392" s="11"/>
    </row>
    <row r="393">
      <c r="A393" s="11"/>
      <c r="G393" s="11"/>
      <c r="H393" s="11"/>
    </row>
    <row r="394">
      <c r="A394" s="11"/>
      <c r="G394" s="11"/>
      <c r="H394" s="11"/>
    </row>
    <row r="395">
      <c r="A395" s="11"/>
      <c r="G395" s="11"/>
      <c r="H395" s="11"/>
    </row>
    <row r="396">
      <c r="A396" s="11"/>
      <c r="G396" s="11"/>
      <c r="H396" s="11"/>
    </row>
    <row r="397">
      <c r="A397" s="11"/>
      <c r="G397" s="11"/>
      <c r="H397" s="11"/>
    </row>
    <row r="398">
      <c r="A398" s="11"/>
      <c r="G398" s="11"/>
      <c r="H398" s="11"/>
    </row>
    <row r="399">
      <c r="A399" s="11"/>
      <c r="G399" s="11"/>
      <c r="H399" s="11"/>
    </row>
    <row r="400">
      <c r="A400" s="11"/>
      <c r="G400" s="11"/>
      <c r="H400" s="11"/>
    </row>
    <row r="401">
      <c r="A401" s="11"/>
      <c r="G401" s="11"/>
      <c r="H401" s="11"/>
    </row>
    <row r="402">
      <c r="A402" s="11"/>
      <c r="G402" s="11"/>
      <c r="H402" s="11"/>
    </row>
    <row r="403">
      <c r="A403" s="11"/>
      <c r="G403" s="11"/>
      <c r="H403" s="11"/>
    </row>
    <row r="404">
      <c r="A404" s="11"/>
      <c r="G404" s="11"/>
      <c r="H404" s="11"/>
    </row>
    <row r="405">
      <c r="A405" s="11"/>
      <c r="G405" s="11"/>
      <c r="H405" s="11"/>
    </row>
    <row r="406">
      <c r="A406" s="11"/>
      <c r="G406" s="11"/>
      <c r="H406" s="11"/>
    </row>
    <row r="407">
      <c r="A407" s="11"/>
      <c r="G407" s="11"/>
      <c r="H407" s="11"/>
    </row>
    <row r="408">
      <c r="A408" s="11"/>
      <c r="G408" s="11"/>
      <c r="H408" s="11"/>
    </row>
    <row r="409">
      <c r="A409" s="11"/>
      <c r="G409" s="11"/>
      <c r="H409" s="11"/>
    </row>
    <row r="410">
      <c r="A410" s="11"/>
      <c r="G410" s="11"/>
      <c r="H410" s="11"/>
    </row>
    <row r="411">
      <c r="A411" s="11"/>
      <c r="G411" s="11"/>
      <c r="H411" s="11"/>
    </row>
    <row r="412">
      <c r="A412" s="11"/>
      <c r="G412" s="11"/>
      <c r="H412" s="11"/>
    </row>
    <row r="413">
      <c r="A413" s="11"/>
      <c r="G413" s="11"/>
      <c r="H413" s="11"/>
    </row>
    <row r="414">
      <c r="A414" s="11"/>
      <c r="G414" s="11"/>
      <c r="H414" s="11"/>
    </row>
    <row r="415">
      <c r="A415" s="11"/>
      <c r="G415" s="11"/>
      <c r="H415" s="11"/>
    </row>
    <row r="416">
      <c r="A416" s="11"/>
      <c r="G416" s="11"/>
      <c r="H416" s="11"/>
    </row>
    <row r="417">
      <c r="A417" s="11"/>
      <c r="G417" s="11"/>
      <c r="H417" s="11"/>
    </row>
    <row r="418">
      <c r="A418" s="11"/>
      <c r="G418" s="11"/>
      <c r="H418" s="11"/>
    </row>
    <row r="419">
      <c r="A419" s="11"/>
      <c r="G419" s="11"/>
      <c r="H419" s="11"/>
    </row>
    <row r="420">
      <c r="A420" s="11"/>
      <c r="G420" s="11"/>
      <c r="H420" s="11"/>
    </row>
    <row r="421">
      <c r="A421" s="11"/>
      <c r="G421" s="11"/>
      <c r="H421" s="11"/>
    </row>
    <row r="422">
      <c r="A422" s="11"/>
      <c r="G422" s="11"/>
      <c r="H422" s="11"/>
    </row>
    <row r="423">
      <c r="A423" s="11"/>
      <c r="G423" s="11"/>
      <c r="H423" s="11"/>
    </row>
    <row r="424">
      <c r="A424" s="11"/>
      <c r="G424" s="11"/>
      <c r="H424" s="11"/>
    </row>
    <row r="425">
      <c r="A425" s="11"/>
      <c r="G425" s="11"/>
      <c r="H425" s="11"/>
    </row>
    <row r="426">
      <c r="A426" s="11"/>
      <c r="G426" s="11"/>
      <c r="H426" s="11"/>
    </row>
    <row r="427">
      <c r="A427" s="11"/>
      <c r="G427" s="11"/>
      <c r="H427" s="11"/>
    </row>
    <row r="428">
      <c r="A428" s="11"/>
      <c r="G428" s="11"/>
      <c r="H428" s="11"/>
    </row>
    <row r="429">
      <c r="A429" s="11"/>
      <c r="G429" s="11"/>
      <c r="H429" s="11"/>
    </row>
    <row r="430">
      <c r="A430" s="11"/>
      <c r="G430" s="11"/>
      <c r="H430" s="11"/>
    </row>
    <row r="431">
      <c r="A431" s="11"/>
      <c r="G431" s="11"/>
      <c r="H431" s="11"/>
    </row>
    <row r="432">
      <c r="A432" s="11"/>
      <c r="G432" s="11"/>
      <c r="H432" s="11"/>
    </row>
    <row r="433">
      <c r="A433" s="11"/>
      <c r="G433" s="11"/>
      <c r="H433" s="11"/>
    </row>
    <row r="434">
      <c r="A434" s="11"/>
      <c r="G434" s="11"/>
      <c r="H434" s="11"/>
    </row>
    <row r="435">
      <c r="A435" s="11"/>
      <c r="G435" s="11"/>
      <c r="H435" s="11"/>
    </row>
    <row r="436">
      <c r="A436" s="11"/>
      <c r="G436" s="11"/>
      <c r="H436" s="11"/>
    </row>
    <row r="437">
      <c r="A437" s="11"/>
      <c r="G437" s="11"/>
      <c r="H437" s="11"/>
    </row>
    <row r="438">
      <c r="A438" s="11"/>
      <c r="G438" s="11"/>
      <c r="H438" s="11"/>
    </row>
    <row r="439">
      <c r="A439" s="11"/>
      <c r="G439" s="11"/>
      <c r="H439" s="11"/>
    </row>
    <row r="440">
      <c r="A440" s="11"/>
      <c r="G440" s="11"/>
      <c r="H440" s="11"/>
    </row>
    <row r="441">
      <c r="A441" s="11"/>
      <c r="G441" s="11"/>
      <c r="H441" s="11"/>
    </row>
    <row r="442">
      <c r="A442" s="11"/>
      <c r="G442" s="11"/>
      <c r="H442" s="11"/>
    </row>
    <row r="443">
      <c r="A443" s="11"/>
      <c r="G443" s="11"/>
      <c r="H443" s="11"/>
    </row>
    <row r="444">
      <c r="A444" s="11"/>
      <c r="G444" s="11"/>
      <c r="H444" s="11"/>
    </row>
    <row r="445">
      <c r="A445" s="11"/>
      <c r="G445" s="11"/>
      <c r="H445" s="11"/>
    </row>
    <row r="446">
      <c r="A446" s="11"/>
      <c r="G446" s="11"/>
      <c r="H446" s="11"/>
    </row>
    <row r="447">
      <c r="A447" s="11"/>
      <c r="G447" s="11"/>
      <c r="H447" s="11"/>
    </row>
    <row r="448">
      <c r="A448" s="11"/>
      <c r="G448" s="11"/>
      <c r="H448" s="11"/>
    </row>
    <row r="449">
      <c r="A449" s="11"/>
      <c r="G449" s="11"/>
      <c r="H449" s="11"/>
    </row>
    <row r="450">
      <c r="A450" s="11"/>
      <c r="G450" s="11"/>
      <c r="H450" s="11"/>
    </row>
    <row r="451">
      <c r="A451" s="11"/>
      <c r="G451" s="11"/>
      <c r="H451" s="11"/>
    </row>
    <row r="452">
      <c r="A452" s="11"/>
      <c r="G452" s="11"/>
      <c r="H452" s="11"/>
    </row>
    <row r="453">
      <c r="A453" s="11"/>
      <c r="G453" s="11"/>
      <c r="H453" s="11"/>
    </row>
    <row r="454">
      <c r="A454" s="11"/>
      <c r="G454" s="11"/>
      <c r="H454" s="11"/>
    </row>
    <row r="455">
      <c r="A455" s="11"/>
      <c r="G455" s="11"/>
      <c r="H455" s="11"/>
    </row>
    <row r="456">
      <c r="A456" s="11"/>
      <c r="G456" s="11"/>
      <c r="H456" s="11"/>
    </row>
    <row r="457">
      <c r="A457" s="11"/>
      <c r="G457" s="11"/>
      <c r="H457" s="11"/>
    </row>
    <row r="458">
      <c r="A458" s="11"/>
      <c r="G458" s="11"/>
      <c r="H458" s="11"/>
    </row>
    <row r="459">
      <c r="A459" s="11"/>
      <c r="G459" s="11"/>
      <c r="H459" s="11"/>
    </row>
    <row r="460">
      <c r="A460" s="11"/>
      <c r="G460" s="11"/>
      <c r="H460" s="11"/>
    </row>
    <row r="461">
      <c r="A461" s="11"/>
      <c r="G461" s="11"/>
      <c r="H461" s="11"/>
    </row>
    <row r="462">
      <c r="A462" s="11"/>
      <c r="G462" s="11"/>
      <c r="H462" s="11"/>
    </row>
    <row r="463">
      <c r="A463" s="11"/>
      <c r="G463" s="11"/>
      <c r="H463" s="11"/>
    </row>
    <row r="464">
      <c r="A464" s="11"/>
      <c r="G464" s="11"/>
      <c r="H464" s="11"/>
    </row>
    <row r="465">
      <c r="A465" s="11"/>
      <c r="G465" s="11"/>
      <c r="H465" s="11"/>
    </row>
    <row r="466">
      <c r="A466" s="11"/>
      <c r="G466" s="11"/>
      <c r="H466" s="11"/>
    </row>
    <row r="467">
      <c r="A467" s="11"/>
      <c r="G467" s="11"/>
      <c r="H467" s="11"/>
    </row>
    <row r="468">
      <c r="A468" s="11"/>
      <c r="G468" s="11"/>
      <c r="H468" s="11"/>
    </row>
    <row r="469">
      <c r="A469" s="11"/>
      <c r="G469" s="11"/>
      <c r="H469" s="11"/>
    </row>
    <row r="470">
      <c r="A470" s="11"/>
      <c r="G470" s="11"/>
      <c r="H470" s="11"/>
    </row>
    <row r="471">
      <c r="A471" s="11"/>
      <c r="G471" s="11"/>
      <c r="H471" s="11"/>
    </row>
    <row r="472">
      <c r="A472" s="11"/>
      <c r="G472" s="11"/>
      <c r="H472" s="11"/>
    </row>
    <row r="473">
      <c r="A473" s="11"/>
      <c r="G473" s="11"/>
      <c r="H473" s="11"/>
    </row>
    <row r="474">
      <c r="A474" s="11"/>
      <c r="G474" s="11"/>
      <c r="H474" s="11"/>
    </row>
    <row r="475">
      <c r="A475" s="11"/>
      <c r="G475" s="11"/>
      <c r="H475" s="11"/>
    </row>
    <row r="476">
      <c r="A476" s="11"/>
      <c r="G476" s="11"/>
      <c r="H476" s="11"/>
    </row>
    <row r="477">
      <c r="A477" s="11"/>
      <c r="G477" s="11"/>
      <c r="H477" s="11"/>
    </row>
    <row r="478">
      <c r="A478" s="11"/>
      <c r="G478" s="11"/>
      <c r="H478" s="11"/>
    </row>
    <row r="479">
      <c r="A479" s="11"/>
      <c r="G479" s="11"/>
      <c r="H479" s="11"/>
    </row>
    <row r="480">
      <c r="A480" s="11"/>
      <c r="G480" s="11"/>
      <c r="H480" s="11"/>
    </row>
    <row r="481">
      <c r="A481" s="11"/>
      <c r="G481" s="11"/>
      <c r="H481" s="11"/>
    </row>
    <row r="482">
      <c r="A482" s="11"/>
      <c r="G482" s="11"/>
      <c r="H482" s="11"/>
    </row>
    <row r="483">
      <c r="A483" s="11"/>
      <c r="G483" s="11"/>
      <c r="H483" s="11"/>
    </row>
    <row r="484">
      <c r="A484" s="11"/>
      <c r="G484" s="11"/>
      <c r="H484" s="11"/>
    </row>
    <row r="485">
      <c r="A485" s="11"/>
      <c r="G485" s="11"/>
      <c r="H485" s="11"/>
    </row>
    <row r="486">
      <c r="A486" s="11"/>
      <c r="G486" s="11"/>
      <c r="H486" s="11"/>
    </row>
    <row r="487">
      <c r="A487" s="11"/>
      <c r="G487" s="11"/>
      <c r="H487" s="11"/>
    </row>
    <row r="488">
      <c r="A488" s="11"/>
      <c r="G488" s="11"/>
      <c r="H488" s="11"/>
    </row>
    <row r="489">
      <c r="A489" s="11"/>
      <c r="G489" s="11"/>
      <c r="H489" s="11"/>
    </row>
    <row r="490">
      <c r="A490" s="11"/>
      <c r="G490" s="11"/>
      <c r="H490" s="11"/>
    </row>
    <row r="491">
      <c r="A491" s="11"/>
      <c r="G491" s="11"/>
      <c r="H491" s="11"/>
    </row>
    <row r="492">
      <c r="A492" s="11"/>
      <c r="G492" s="11"/>
      <c r="H492" s="11"/>
    </row>
    <row r="493">
      <c r="A493" s="11"/>
      <c r="G493" s="11"/>
      <c r="H493" s="11"/>
    </row>
    <row r="494">
      <c r="A494" s="11"/>
      <c r="G494" s="11"/>
      <c r="H494" s="11"/>
    </row>
    <row r="495">
      <c r="A495" s="11"/>
      <c r="G495" s="11"/>
      <c r="H495" s="11"/>
    </row>
    <row r="496">
      <c r="A496" s="11"/>
      <c r="G496" s="11"/>
      <c r="H496" s="11"/>
    </row>
    <row r="497">
      <c r="A497" s="11"/>
      <c r="G497" s="11"/>
      <c r="H497" s="11"/>
    </row>
    <row r="498">
      <c r="A498" s="11"/>
      <c r="G498" s="11"/>
      <c r="H498" s="11"/>
    </row>
    <row r="499">
      <c r="A499" s="11"/>
      <c r="G499" s="11"/>
      <c r="H499" s="11"/>
    </row>
    <row r="500">
      <c r="A500" s="11"/>
      <c r="G500" s="11"/>
      <c r="H500" s="11"/>
    </row>
    <row r="501">
      <c r="A501" s="11"/>
      <c r="G501" s="11"/>
      <c r="H501" s="11"/>
    </row>
    <row r="502">
      <c r="A502" s="11"/>
      <c r="G502" s="11"/>
      <c r="H502" s="11"/>
    </row>
    <row r="503">
      <c r="A503" s="11"/>
      <c r="G503" s="11"/>
      <c r="H503" s="11"/>
    </row>
    <row r="504">
      <c r="A504" s="11"/>
      <c r="G504" s="11"/>
      <c r="H504" s="11"/>
    </row>
    <row r="505">
      <c r="A505" s="11"/>
      <c r="G505" s="11"/>
      <c r="H505" s="11"/>
    </row>
    <row r="506">
      <c r="A506" s="11"/>
      <c r="G506" s="11"/>
      <c r="H506" s="11"/>
    </row>
    <row r="507">
      <c r="A507" s="11"/>
      <c r="G507" s="11"/>
      <c r="H507" s="11"/>
    </row>
    <row r="508">
      <c r="A508" s="11"/>
      <c r="G508" s="11"/>
      <c r="H508" s="11"/>
    </row>
    <row r="509">
      <c r="A509" s="11"/>
      <c r="G509" s="11"/>
      <c r="H509" s="11"/>
    </row>
    <row r="510">
      <c r="A510" s="11"/>
      <c r="G510" s="11"/>
      <c r="H510" s="11"/>
    </row>
    <row r="511">
      <c r="A511" s="11"/>
      <c r="G511" s="11"/>
      <c r="H511" s="11"/>
    </row>
    <row r="512">
      <c r="A512" s="11"/>
      <c r="G512" s="11"/>
      <c r="H512" s="11"/>
    </row>
    <row r="513">
      <c r="A513" s="11"/>
      <c r="G513" s="11"/>
      <c r="H513" s="11"/>
    </row>
    <row r="514">
      <c r="A514" s="11"/>
      <c r="G514" s="11"/>
      <c r="H514" s="11"/>
    </row>
    <row r="515">
      <c r="A515" s="11"/>
      <c r="G515" s="11"/>
      <c r="H515" s="11"/>
    </row>
    <row r="516">
      <c r="A516" s="11"/>
      <c r="G516" s="11"/>
      <c r="H516" s="11"/>
    </row>
    <row r="517">
      <c r="A517" s="11"/>
      <c r="G517" s="11"/>
      <c r="H517" s="11"/>
    </row>
    <row r="518">
      <c r="A518" s="11"/>
      <c r="G518" s="11"/>
      <c r="H518" s="11"/>
    </row>
    <row r="519">
      <c r="A519" s="11"/>
      <c r="G519" s="11"/>
      <c r="H519" s="11"/>
    </row>
    <row r="520">
      <c r="A520" s="11"/>
      <c r="G520" s="11"/>
      <c r="H520" s="11"/>
    </row>
    <row r="521">
      <c r="A521" s="11"/>
      <c r="G521" s="11"/>
      <c r="H521" s="11"/>
    </row>
    <row r="522">
      <c r="A522" s="11"/>
      <c r="G522" s="11"/>
      <c r="H522" s="11"/>
    </row>
    <row r="523">
      <c r="A523" s="11"/>
      <c r="G523" s="11"/>
      <c r="H523" s="11"/>
    </row>
    <row r="524">
      <c r="A524" s="11"/>
      <c r="G524" s="11"/>
      <c r="H524" s="11"/>
    </row>
    <row r="525">
      <c r="A525" s="11"/>
      <c r="G525" s="11"/>
      <c r="H525" s="11"/>
    </row>
    <row r="526">
      <c r="A526" s="11"/>
      <c r="G526" s="11"/>
      <c r="H526" s="11"/>
    </row>
    <row r="527">
      <c r="A527" s="11"/>
      <c r="G527" s="11"/>
      <c r="H527" s="11"/>
    </row>
    <row r="528">
      <c r="A528" s="11"/>
      <c r="G528" s="11"/>
      <c r="H528" s="11"/>
    </row>
    <row r="529">
      <c r="A529" s="11"/>
      <c r="G529" s="11"/>
      <c r="H529" s="11"/>
    </row>
    <row r="530">
      <c r="A530" s="11"/>
      <c r="G530" s="11"/>
      <c r="H530" s="11"/>
    </row>
    <row r="531">
      <c r="A531" s="11"/>
      <c r="G531" s="11"/>
      <c r="H531" s="11"/>
    </row>
    <row r="532">
      <c r="A532" s="11"/>
      <c r="G532" s="11"/>
      <c r="H532" s="11"/>
    </row>
    <row r="533">
      <c r="A533" s="11"/>
      <c r="G533" s="11"/>
      <c r="H533" s="11"/>
    </row>
    <row r="534">
      <c r="A534" s="11"/>
      <c r="G534" s="11"/>
      <c r="H534" s="11"/>
    </row>
    <row r="535">
      <c r="A535" s="11"/>
      <c r="G535" s="11"/>
      <c r="H535" s="11"/>
    </row>
    <row r="536">
      <c r="A536" s="11"/>
      <c r="G536" s="11"/>
      <c r="H536" s="11"/>
    </row>
    <row r="537">
      <c r="A537" s="11"/>
      <c r="G537" s="11"/>
      <c r="H537" s="11"/>
    </row>
    <row r="538">
      <c r="A538" s="11"/>
      <c r="G538" s="11"/>
      <c r="H538" s="11"/>
    </row>
    <row r="539">
      <c r="A539" s="11"/>
      <c r="G539" s="11"/>
      <c r="H539" s="11"/>
    </row>
    <row r="540">
      <c r="A540" s="11"/>
      <c r="G540" s="11"/>
      <c r="H540" s="11"/>
    </row>
    <row r="541">
      <c r="A541" s="11"/>
      <c r="G541" s="11"/>
      <c r="H541" s="11"/>
    </row>
    <row r="542">
      <c r="A542" s="11"/>
      <c r="G542" s="11"/>
      <c r="H542" s="11"/>
    </row>
    <row r="543">
      <c r="A543" s="11"/>
      <c r="G543" s="11"/>
      <c r="H543" s="11"/>
    </row>
    <row r="544">
      <c r="A544" s="11"/>
      <c r="G544" s="11"/>
      <c r="H544" s="11"/>
    </row>
    <row r="545">
      <c r="A545" s="11"/>
      <c r="G545" s="11"/>
      <c r="H545" s="11"/>
    </row>
    <row r="546">
      <c r="A546" s="11"/>
      <c r="G546" s="11"/>
      <c r="H546" s="11"/>
    </row>
    <row r="547">
      <c r="A547" s="11"/>
      <c r="G547" s="11"/>
      <c r="H547" s="11"/>
    </row>
    <row r="548">
      <c r="A548" s="11"/>
      <c r="G548" s="11"/>
      <c r="H548" s="11"/>
    </row>
    <row r="549">
      <c r="A549" s="11"/>
      <c r="G549" s="11"/>
      <c r="H549" s="11"/>
    </row>
    <row r="550">
      <c r="A550" s="11"/>
      <c r="G550" s="11"/>
      <c r="H550" s="11"/>
    </row>
    <row r="551">
      <c r="A551" s="11"/>
      <c r="G551" s="11"/>
      <c r="H551" s="11"/>
    </row>
    <row r="552">
      <c r="A552" s="11"/>
      <c r="G552" s="11"/>
      <c r="H552" s="11"/>
    </row>
    <row r="553">
      <c r="A553" s="11"/>
      <c r="G553" s="11"/>
      <c r="H553" s="11"/>
    </row>
    <row r="554">
      <c r="A554" s="11"/>
      <c r="G554" s="11"/>
      <c r="H554" s="11"/>
    </row>
    <row r="555">
      <c r="A555" s="11"/>
      <c r="G555" s="11"/>
      <c r="H555" s="11"/>
    </row>
    <row r="556">
      <c r="A556" s="11"/>
      <c r="G556" s="11"/>
      <c r="H556" s="11"/>
    </row>
    <row r="557">
      <c r="A557" s="11"/>
      <c r="G557" s="11"/>
      <c r="H557" s="11"/>
    </row>
    <row r="558">
      <c r="A558" s="11"/>
      <c r="G558" s="11"/>
      <c r="H558" s="11"/>
    </row>
    <row r="559">
      <c r="A559" s="11"/>
      <c r="G559" s="11"/>
      <c r="H559" s="11"/>
    </row>
    <row r="560">
      <c r="A560" s="11"/>
      <c r="G560" s="11"/>
      <c r="H560" s="11"/>
    </row>
    <row r="561">
      <c r="A561" s="11"/>
      <c r="G561" s="11"/>
      <c r="H561" s="11"/>
    </row>
    <row r="562">
      <c r="A562" s="11"/>
      <c r="G562" s="11"/>
      <c r="H562" s="11"/>
    </row>
    <row r="563">
      <c r="A563" s="11"/>
      <c r="G563" s="11"/>
      <c r="H563" s="11"/>
    </row>
    <row r="564">
      <c r="A564" s="11"/>
      <c r="G564" s="11"/>
      <c r="H564" s="11"/>
    </row>
    <row r="565">
      <c r="A565" s="11"/>
      <c r="G565" s="11"/>
      <c r="H565" s="11"/>
    </row>
    <row r="566">
      <c r="A566" s="11"/>
      <c r="G566" s="11"/>
      <c r="H566" s="11"/>
    </row>
    <row r="567">
      <c r="A567" s="11"/>
      <c r="G567" s="11"/>
      <c r="H567" s="11"/>
    </row>
    <row r="568">
      <c r="A568" s="11"/>
      <c r="G568" s="11"/>
      <c r="H568" s="11"/>
    </row>
    <row r="569">
      <c r="A569" s="11"/>
      <c r="G569" s="11"/>
      <c r="H569" s="11"/>
    </row>
    <row r="570">
      <c r="A570" s="11"/>
      <c r="G570" s="11"/>
      <c r="H570" s="11"/>
    </row>
    <row r="571">
      <c r="A571" s="11"/>
      <c r="G571" s="11"/>
      <c r="H571" s="11"/>
    </row>
    <row r="572">
      <c r="A572" s="11"/>
      <c r="G572" s="11"/>
      <c r="H572" s="11"/>
    </row>
    <row r="573">
      <c r="A573" s="11"/>
      <c r="G573" s="11"/>
      <c r="H573" s="11"/>
    </row>
    <row r="574">
      <c r="A574" s="11"/>
      <c r="G574" s="11"/>
      <c r="H574" s="11"/>
    </row>
    <row r="575">
      <c r="A575" s="11"/>
      <c r="G575" s="11"/>
      <c r="H575" s="11"/>
    </row>
    <row r="576">
      <c r="A576" s="11"/>
      <c r="G576" s="11"/>
      <c r="H576" s="11"/>
    </row>
    <row r="577">
      <c r="A577" s="11"/>
      <c r="G577" s="11"/>
      <c r="H577" s="11"/>
    </row>
    <row r="578">
      <c r="A578" s="11"/>
      <c r="G578" s="11"/>
      <c r="H578" s="11"/>
    </row>
    <row r="579">
      <c r="A579" s="11"/>
      <c r="G579" s="11"/>
      <c r="H579" s="11"/>
    </row>
    <row r="580">
      <c r="A580" s="11"/>
      <c r="G580" s="11"/>
      <c r="H580" s="11"/>
    </row>
    <row r="581">
      <c r="A581" s="11"/>
      <c r="G581" s="11"/>
      <c r="H581" s="11"/>
    </row>
    <row r="582">
      <c r="A582" s="11"/>
      <c r="G582" s="11"/>
      <c r="H582" s="11"/>
    </row>
    <row r="583">
      <c r="A583" s="11"/>
      <c r="G583" s="11"/>
      <c r="H583" s="11"/>
    </row>
    <row r="584">
      <c r="A584" s="11"/>
      <c r="G584" s="11"/>
      <c r="H584" s="11"/>
    </row>
    <row r="585">
      <c r="A585" s="11"/>
      <c r="G585" s="11"/>
      <c r="H585" s="11"/>
    </row>
    <row r="586">
      <c r="A586" s="11"/>
      <c r="G586" s="11"/>
      <c r="H586" s="11"/>
    </row>
    <row r="587">
      <c r="A587" s="11"/>
      <c r="G587" s="11"/>
      <c r="H587" s="11"/>
    </row>
    <row r="588">
      <c r="A588" s="11"/>
      <c r="G588" s="11"/>
      <c r="H588" s="11"/>
    </row>
    <row r="589">
      <c r="A589" s="11"/>
      <c r="G589" s="11"/>
      <c r="H589" s="11"/>
    </row>
    <row r="590">
      <c r="A590" s="11"/>
      <c r="G590" s="11"/>
      <c r="H590" s="11"/>
    </row>
    <row r="591">
      <c r="A591" s="11"/>
      <c r="G591" s="11"/>
      <c r="H591" s="11"/>
    </row>
    <row r="592">
      <c r="A592" s="11"/>
      <c r="G592" s="11"/>
      <c r="H592" s="11"/>
    </row>
    <row r="593">
      <c r="A593" s="11"/>
      <c r="G593" s="11"/>
      <c r="H593" s="11"/>
    </row>
    <row r="594">
      <c r="A594" s="11"/>
      <c r="G594" s="11"/>
      <c r="H594" s="11"/>
    </row>
    <row r="595">
      <c r="A595" s="11"/>
      <c r="G595" s="11"/>
      <c r="H595" s="11"/>
    </row>
    <row r="596">
      <c r="A596" s="11"/>
      <c r="G596" s="11"/>
      <c r="H596" s="11"/>
    </row>
    <row r="597">
      <c r="A597" s="11"/>
      <c r="G597" s="11"/>
      <c r="H597" s="11"/>
    </row>
    <row r="598">
      <c r="A598" s="11"/>
      <c r="G598" s="11"/>
      <c r="H598" s="11"/>
    </row>
    <row r="599">
      <c r="A599" s="11"/>
      <c r="G599" s="11"/>
      <c r="H599" s="11"/>
    </row>
    <row r="600">
      <c r="A600" s="11"/>
      <c r="G600" s="11"/>
      <c r="H600" s="11"/>
    </row>
    <row r="601">
      <c r="A601" s="11"/>
      <c r="G601" s="11"/>
      <c r="H601" s="11"/>
    </row>
    <row r="602">
      <c r="A602" s="11"/>
      <c r="G602" s="11"/>
      <c r="H602" s="11"/>
    </row>
    <row r="603">
      <c r="A603" s="11"/>
      <c r="G603" s="11"/>
      <c r="H603" s="11"/>
    </row>
    <row r="604">
      <c r="A604" s="11"/>
      <c r="G604" s="11"/>
      <c r="H604" s="11"/>
    </row>
    <row r="605">
      <c r="A605" s="11"/>
      <c r="G605" s="11"/>
      <c r="H605" s="11"/>
    </row>
    <row r="606">
      <c r="A606" s="11"/>
      <c r="G606" s="11"/>
      <c r="H606" s="11"/>
    </row>
    <row r="607">
      <c r="A607" s="11"/>
      <c r="G607" s="11"/>
      <c r="H607" s="11"/>
    </row>
    <row r="608">
      <c r="A608" s="11"/>
      <c r="G608" s="11"/>
      <c r="H608" s="11"/>
    </row>
    <row r="609">
      <c r="A609" s="11"/>
      <c r="G609" s="11"/>
      <c r="H609" s="11"/>
    </row>
    <row r="610">
      <c r="A610" s="11"/>
      <c r="G610" s="11"/>
      <c r="H610" s="11"/>
    </row>
    <row r="611">
      <c r="A611" s="11"/>
      <c r="G611" s="11"/>
      <c r="H611" s="11"/>
    </row>
    <row r="612">
      <c r="A612" s="11"/>
      <c r="G612" s="11"/>
      <c r="H612" s="11"/>
    </row>
    <row r="613">
      <c r="A613" s="11"/>
      <c r="G613" s="11"/>
      <c r="H613" s="11"/>
    </row>
    <row r="614">
      <c r="A614" s="11"/>
      <c r="G614" s="11"/>
      <c r="H614" s="11"/>
    </row>
    <row r="615">
      <c r="A615" s="11"/>
      <c r="G615" s="11"/>
      <c r="H615" s="11"/>
    </row>
    <row r="616">
      <c r="A616" s="11"/>
      <c r="G616" s="11"/>
      <c r="H616" s="11"/>
    </row>
    <row r="617">
      <c r="A617" s="11"/>
      <c r="G617" s="11"/>
      <c r="H617" s="11"/>
    </row>
    <row r="618">
      <c r="A618" s="11"/>
      <c r="G618" s="11"/>
      <c r="H618" s="11"/>
    </row>
    <row r="619">
      <c r="A619" s="11"/>
      <c r="G619" s="11"/>
      <c r="H619" s="11"/>
    </row>
    <row r="620">
      <c r="A620" s="11"/>
      <c r="G620" s="11"/>
      <c r="H620" s="11"/>
    </row>
    <row r="621">
      <c r="A621" s="11"/>
      <c r="G621" s="11"/>
      <c r="H621" s="11"/>
    </row>
    <row r="622">
      <c r="A622" s="11"/>
      <c r="G622" s="11"/>
      <c r="H622" s="11"/>
    </row>
    <row r="623">
      <c r="A623" s="11"/>
      <c r="G623" s="11"/>
      <c r="H623" s="11"/>
    </row>
    <row r="624">
      <c r="A624" s="11"/>
      <c r="G624" s="11"/>
      <c r="H624" s="11"/>
    </row>
    <row r="625">
      <c r="A625" s="11"/>
      <c r="G625" s="11"/>
      <c r="H625" s="11"/>
    </row>
    <row r="626">
      <c r="A626" s="11"/>
      <c r="G626" s="11"/>
      <c r="H626" s="11"/>
    </row>
    <row r="627">
      <c r="A627" s="11"/>
      <c r="G627" s="11"/>
      <c r="H627" s="11"/>
    </row>
    <row r="628">
      <c r="A628" s="11"/>
      <c r="G628" s="11"/>
      <c r="H628" s="11"/>
    </row>
    <row r="629">
      <c r="A629" s="11"/>
      <c r="G629" s="11"/>
      <c r="H629" s="11"/>
    </row>
    <row r="630">
      <c r="A630" s="11"/>
      <c r="G630" s="11"/>
      <c r="H630" s="11"/>
    </row>
    <row r="631">
      <c r="A631" s="11"/>
      <c r="G631" s="11"/>
      <c r="H631" s="11"/>
    </row>
    <row r="632">
      <c r="A632" s="11"/>
      <c r="G632" s="11"/>
      <c r="H632" s="11"/>
    </row>
    <row r="633">
      <c r="A633" s="11"/>
      <c r="G633" s="11"/>
      <c r="H633" s="11"/>
    </row>
    <row r="634">
      <c r="A634" s="11"/>
      <c r="G634" s="11"/>
      <c r="H634" s="11"/>
    </row>
    <row r="635">
      <c r="A635" s="11"/>
      <c r="G635" s="11"/>
      <c r="H635" s="11"/>
    </row>
    <row r="636">
      <c r="A636" s="11"/>
      <c r="G636" s="11"/>
      <c r="H636" s="11"/>
    </row>
    <row r="637">
      <c r="A637" s="11"/>
      <c r="G637" s="11"/>
      <c r="H637" s="11"/>
    </row>
    <row r="638">
      <c r="A638" s="11"/>
      <c r="G638" s="11"/>
      <c r="H638" s="11"/>
    </row>
    <row r="639">
      <c r="A639" s="11"/>
      <c r="G639" s="11"/>
      <c r="H639" s="11"/>
    </row>
    <row r="640">
      <c r="A640" s="11"/>
      <c r="G640" s="11"/>
      <c r="H640" s="11"/>
    </row>
    <row r="641">
      <c r="A641" s="11"/>
      <c r="G641" s="11"/>
      <c r="H641" s="11"/>
    </row>
    <row r="642">
      <c r="A642" s="11"/>
      <c r="G642" s="11"/>
      <c r="H642" s="11"/>
    </row>
    <row r="643">
      <c r="A643" s="11"/>
      <c r="G643" s="11"/>
      <c r="H643" s="11"/>
    </row>
    <row r="644">
      <c r="A644" s="11"/>
      <c r="G644" s="11"/>
      <c r="H644" s="11"/>
    </row>
    <row r="645">
      <c r="A645" s="11"/>
      <c r="G645" s="11"/>
      <c r="H645" s="11"/>
    </row>
    <row r="646">
      <c r="A646" s="11"/>
      <c r="G646" s="11"/>
      <c r="H646" s="11"/>
    </row>
    <row r="647">
      <c r="A647" s="11"/>
      <c r="G647" s="11"/>
      <c r="H647" s="11"/>
    </row>
    <row r="648">
      <c r="A648" s="11"/>
      <c r="G648" s="11"/>
      <c r="H648" s="11"/>
    </row>
    <row r="649">
      <c r="A649" s="11"/>
      <c r="G649" s="11"/>
      <c r="H649" s="11"/>
    </row>
    <row r="650">
      <c r="A650" s="11"/>
      <c r="G650" s="11"/>
      <c r="H650" s="11"/>
    </row>
    <row r="651">
      <c r="A651" s="11"/>
      <c r="G651" s="11"/>
      <c r="H651" s="11"/>
    </row>
    <row r="652">
      <c r="A652" s="11"/>
      <c r="G652" s="11"/>
      <c r="H652" s="11"/>
    </row>
    <row r="653">
      <c r="A653" s="11"/>
      <c r="G653" s="11"/>
      <c r="H653" s="11"/>
    </row>
    <row r="654">
      <c r="A654" s="11"/>
      <c r="G654" s="11"/>
      <c r="H654" s="11"/>
    </row>
    <row r="655">
      <c r="A655" s="11"/>
      <c r="G655" s="11"/>
      <c r="H655" s="11"/>
    </row>
    <row r="656">
      <c r="A656" s="11"/>
      <c r="G656" s="11"/>
      <c r="H656" s="11"/>
    </row>
    <row r="657">
      <c r="A657" s="11"/>
      <c r="G657" s="11"/>
      <c r="H657" s="11"/>
    </row>
    <row r="658">
      <c r="A658" s="11"/>
      <c r="G658" s="11"/>
      <c r="H658" s="11"/>
    </row>
    <row r="659">
      <c r="A659" s="11"/>
      <c r="G659" s="11"/>
      <c r="H659" s="11"/>
    </row>
    <row r="660">
      <c r="A660" s="11"/>
      <c r="G660" s="11"/>
      <c r="H660" s="11"/>
    </row>
    <row r="661">
      <c r="A661" s="11"/>
      <c r="G661" s="11"/>
      <c r="H661" s="11"/>
    </row>
    <row r="662">
      <c r="A662" s="11"/>
      <c r="G662" s="11"/>
      <c r="H662" s="11"/>
    </row>
    <row r="663">
      <c r="A663" s="11"/>
      <c r="G663" s="11"/>
      <c r="H663" s="11"/>
    </row>
    <row r="664">
      <c r="A664" s="11"/>
      <c r="G664" s="11"/>
      <c r="H664" s="11"/>
    </row>
    <row r="665">
      <c r="A665" s="11"/>
      <c r="G665" s="11"/>
      <c r="H665" s="11"/>
    </row>
    <row r="666">
      <c r="A666" s="11"/>
      <c r="G666" s="11"/>
      <c r="H666" s="11"/>
    </row>
    <row r="667">
      <c r="A667" s="11"/>
      <c r="G667" s="11"/>
      <c r="H667" s="11"/>
    </row>
    <row r="668">
      <c r="A668" s="11"/>
      <c r="G668" s="11"/>
      <c r="H668" s="11"/>
    </row>
    <row r="669">
      <c r="A669" s="11"/>
      <c r="G669" s="11"/>
      <c r="H669" s="11"/>
    </row>
    <row r="670">
      <c r="A670" s="11"/>
      <c r="G670" s="11"/>
      <c r="H670" s="11"/>
    </row>
    <row r="671">
      <c r="A671" s="11"/>
      <c r="G671" s="11"/>
      <c r="H671" s="11"/>
    </row>
    <row r="672">
      <c r="A672" s="11"/>
      <c r="G672" s="11"/>
      <c r="H672" s="11"/>
    </row>
    <row r="673">
      <c r="A673" s="11"/>
      <c r="G673" s="11"/>
      <c r="H673" s="11"/>
    </row>
    <row r="674">
      <c r="A674" s="11"/>
      <c r="G674" s="11"/>
      <c r="H674" s="11"/>
    </row>
    <row r="675">
      <c r="A675" s="11"/>
      <c r="G675" s="11"/>
      <c r="H675" s="11"/>
    </row>
    <row r="676">
      <c r="A676" s="11"/>
      <c r="G676" s="11"/>
      <c r="H676" s="11"/>
    </row>
    <row r="677">
      <c r="A677" s="11"/>
      <c r="G677" s="11"/>
      <c r="H677" s="11"/>
    </row>
    <row r="678">
      <c r="A678" s="11"/>
      <c r="G678" s="11"/>
      <c r="H678" s="11"/>
    </row>
    <row r="679">
      <c r="A679" s="11"/>
      <c r="G679" s="11"/>
      <c r="H679" s="11"/>
    </row>
    <row r="680">
      <c r="A680" s="11"/>
      <c r="G680" s="11"/>
      <c r="H680" s="11"/>
    </row>
    <row r="681">
      <c r="A681" s="11"/>
      <c r="G681" s="11"/>
      <c r="H681" s="11"/>
    </row>
    <row r="682">
      <c r="A682" s="11"/>
      <c r="G682" s="11"/>
      <c r="H682" s="11"/>
    </row>
    <row r="683">
      <c r="A683" s="11"/>
      <c r="G683" s="11"/>
      <c r="H683" s="11"/>
    </row>
    <row r="684">
      <c r="A684" s="11"/>
      <c r="G684" s="11"/>
      <c r="H684" s="11"/>
    </row>
    <row r="685">
      <c r="A685" s="11"/>
      <c r="G685" s="11"/>
      <c r="H685" s="11"/>
    </row>
    <row r="686">
      <c r="A686" s="11"/>
      <c r="G686" s="11"/>
      <c r="H686" s="11"/>
    </row>
    <row r="687">
      <c r="A687" s="11"/>
      <c r="G687" s="11"/>
      <c r="H687" s="11"/>
    </row>
    <row r="688">
      <c r="A688" s="11"/>
      <c r="G688" s="11"/>
      <c r="H688" s="11"/>
    </row>
    <row r="689">
      <c r="A689" s="11"/>
      <c r="G689" s="11"/>
      <c r="H689" s="11"/>
    </row>
    <row r="690">
      <c r="A690" s="11"/>
      <c r="G690" s="11"/>
      <c r="H690" s="11"/>
    </row>
    <row r="691">
      <c r="A691" s="11"/>
      <c r="G691" s="11"/>
      <c r="H691" s="11"/>
    </row>
    <row r="692">
      <c r="A692" s="11"/>
      <c r="G692" s="11"/>
      <c r="H692" s="11"/>
    </row>
    <row r="693">
      <c r="A693" s="11"/>
      <c r="G693" s="11"/>
      <c r="H693" s="11"/>
    </row>
    <row r="694">
      <c r="A694" s="11"/>
      <c r="G694" s="11"/>
      <c r="H694" s="11"/>
    </row>
    <row r="695">
      <c r="A695" s="11"/>
      <c r="G695" s="11"/>
      <c r="H695" s="11"/>
    </row>
    <row r="696">
      <c r="A696" s="11"/>
      <c r="G696" s="11"/>
      <c r="H696" s="11"/>
    </row>
    <row r="697">
      <c r="A697" s="11"/>
      <c r="G697" s="11"/>
      <c r="H697" s="11"/>
    </row>
    <row r="698">
      <c r="A698" s="11"/>
      <c r="G698" s="11"/>
      <c r="H698" s="11"/>
    </row>
    <row r="699">
      <c r="A699" s="11"/>
      <c r="G699" s="11"/>
      <c r="H699" s="11"/>
    </row>
    <row r="700">
      <c r="A700" s="11"/>
      <c r="G700" s="11"/>
      <c r="H700" s="11"/>
    </row>
    <row r="701">
      <c r="A701" s="11"/>
      <c r="G701" s="11"/>
      <c r="H701" s="11"/>
    </row>
    <row r="702">
      <c r="A702" s="11"/>
      <c r="G702" s="11"/>
      <c r="H702" s="11"/>
    </row>
    <row r="703">
      <c r="A703" s="11"/>
      <c r="G703" s="11"/>
      <c r="H703" s="11"/>
    </row>
    <row r="704">
      <c r="A704" s="11"/>
      <c r="G704" s="11"/>
      <c r="H704" s="11"/>
    </row>
    <row r="705">
      <c r="A705" s="11"/>
      <c r="G705" s="11"/>
      <c r="H705" s="11"/>
    </row>
    <row r="706">
      <c r="A706" s="11"/>
      <c r="G706" s="11"/>
      <c r="H706" s="11"/>
    </row>
    <row r="707">
      <c r="A707" s="11"/>
      <c r="G707" s="11"/>
      <c r="H707" s="11"/>
    </row>
    <row r="708">
      <c r="A708" s="11"/>
      <c r="G708" s="11"/>
      <c r="H708" s="11"/>
    </row>
    <row r="709">
      <c r="A709" s="11"/>
      <c r="G709" s="11"/>
      <c r="H709" s="11"/>
    </row>
    <row r="710">
      <c r="A710" s="11"/>
      <c r="G710" s="11"/>
      <c r="H710" s="11"/>
    </row>
    <row r="711">
      <c r="A711" s="11"/>
      <c r="G711" s="11"/>
      <c r="H711" s="11"/>
    </row>
    <row r="712">
      <c r="A712" s="11"/>
      <c r="G712" s="11"/>
      <c r="H712" s="11"/>
    </row>
    <row r="713">
      <c r="A713" s="11"/>
      <c r="G713" s="11"/>
      <c r="H713" s="11"/>
    </row>
    <row r="714">
      <c r="A714" s="11"/>
      <c r="G714" s="11"/>
      <c r="H714" s="11"/>
    </row>
    <row r="715">
      <c r="A715" s="11"/>
      <c r="G715" s="11"/>
      <c r="H715" s="11"/>
    </row>
    <row r="716">
      <c r="A716" s="11"/>
      <c r="G716" s="11"/>
      <c r="H716" s="11"/>
    </row>
    <row r="717">
      <c r="A717" s="11"/>
      <c r="G717" s="11"/>
      <c r="H717" s="11"/>
    </row>
    <row r="718">
      <c r="A718" s="11"/>
      <c r="G718" s="11"/>
      <c r="H718" s="11"/>
    </row>
    <row r="719">
      <c r="A719" s="11"/>
      <c r="G719" s="11"/>
      <c r="H719" s="11"/>
    </row>
    <row r="720">
      <c r="A720" s="11"/>
      <c r="G720" s="11"/>
      <c r="H720" s="11"/>
    </row>
    <row r="721">
      <c r="A721" s="11"/>
      <c r="G721" s="11"/>
      <c r="H721" s="11"/>
    </row>
    <row r="722">
      <c r="A722" s="11"/>
      <c r="G722" s="11"/>
      <c r="H722" s="11"/>
    </row>
    <row r="723">
      <c r="A723" s="11"/>
      <c r="G723" s="11"/>
      <c r="H723" s="11"/>
    </row>
    <row r="724">
      <c r="A724" s="11"/>
      <c r="G724" s="11"/>
      <c r="H724" s="11"/>
    </row>
    <row r="725">
      <c r="A725" s="11"/>
      <c r="G725" s="11"/>
      <c r="H725" s="11"/>
    </row>
    <row r="726">
      <c r="A726" s="11"/>
      <c r="G726" s="11"/>
      <c r="H726" s="11"/>
    </row>
    <row r="727">
      <c r="A727" s="11"/>
      <c r="G727" s="11"/>
      <c r="H727" s="11"/>
    </row>
    <row r="728">
      <c r="A728" s="11"/>
      <c r="G728" s="11"/>
      <c r="H728" s="11"/>
    </row>
    <row r="729">
      <c r="A729" s="11"/>
      <c r="G729" s="11"/>
      <c r="H729" s="11"/>
    </row>
    <row r="730">
      <c r="A730" s="11"/>
      <c r="G730" s="11"/>
      <c r="H730" s="11"/>
    </row>
    <row r="731">
      <c r="A731" s="11"/>
      <c r="G731" s="11"/>
      <c r="H731" s="11"/>
    </row>
    <row r="732">
      <c r="A732" s="11"/>
      <c r="G732" s="11"/>
      <c r="H732" s="11"/>
    </row>
    <row r="733">
      <c r="A733" s="11"/>
      <c r="G733" s="11"/>
      <c r="H733" s="11"/>
    </row>
    <row r="734">
      <c r="A734" s="11"/>
      <c r="G734" s="11"/>
      <c r="H734" s="11"/>
    </row>
    <row r="735">
      <c r="A735" s="11"/>
      <c r="G735" s="11"/>
      <c r="H735" s="11"/>
    </row>
    <row r="736">
      <c r="A736" s="11"/>
      <c r="G736" s="11"/>
      <c r="H736" s="11"/>
    </row>
    <row r="737">
      <c r="A737" s="11"/>
      <c r="G737" s="11"/>
      <c r="H737" s="11"/>
    </row>
    <row r="738">
      <c r="A738" s="11"/>
      <c r="G738" s="11"/>
      <c r="H738" s="11"/>
    </row>
    <row r="739">
      <c r="A739" s="11"/>
      <c r="G739" s="11"/>
      <c r="H739" s="11"/>
    </row>
    <row r="740">
      <c r="A740" s="11"/>
      <c r="G740" s="11"/>
      <c r="H740" s="11"/>
    </row>
    <row r="741">
      <c r="A741" s="11"/>
      <c r="G741" s="11"/>
      <c r="H741" s="11"/>
    </row>
    <row r="742">
      <c r="A742" s="11"/>
      <c r="G742" s="11"/>
      <c r="H742" s="11"/>
    </row>
    <row r="743">
      <c r="A743" s="11"/>
      <c r="G743" s="11"/>
      <c r="H743" s="11"/>
    </row>
    <row r="744">
      <c r="A744" s="11"/>
      <c r="G744" s="11"/>
      <c r="H744" s="11"/>
    </row>
    <row r="745">
      <c r="A745" s="11"/>
      <c r="G745" s="11"/>
      <c r="H745" s="11"/>
    </row>
    <row r="746">
      <c r="A746" s="11"/>
      <c r="G746" s="11"/>
      <c r="H746" s="11"/>
    </row>
    <row r="747">
      <c r="A747" s="11"/>
      <c r="G747" s="11"/>
      <c r="H747" s="11"/>
    </row>
    <row r="748">
      <c r="A748" s="11"/>
      <c r="G748" s="11"/>
      <c r="H748" s="11"/>
    </row>
    <row r="749">
      <c r="A749" s="11"/>
      <c r="G749" s="11"/>
      <c r="H749" s="11"/>
    </row>
    <row r="750">
      <c r="A750" s="11"/>
      <c r="G750" s="11"/>
      <c r="H750" s="11"/>
    </row>
    <row r="751">
      <c r="A751" s="11"/>
      <c r="G751" s="11"/>
      <c r="H751" s="11"/>
    </row>
    <row r="752">
      <c r="A752" s="11"/>
      <c r="G752" s="11"/>
      <c r="H752" s="11"/>
    </row>
    <row r="753">
      <c r="A753" s="11"/>
      <c r="G753" s="11"/>
      <c r="H753" s="11"/>
    </row>
    <row r="754">
      <c r="A754" s="11"/>
      <c r="G754" s="11"/>
      <c r="H754" s="11"/>
    </row>
    <row r="755">
      <c r="A755" s="11"/>
      <c r="G755" s="11"/>
      <c r="H755" s="11"/>
    </row>
    <row r="756">
      <c r="A756" s="11"/>
      <c r="G756" s="11"/>
      <c r="H756" s="11"/>
    </row>
    <row r="757">
      <c r="A757" s="11"/>
      <c r="G757" s="11"/>
      <c r="H757" s="11"/>
    </row>
    <row r="758">
      <c r="A758" s="11"/>
      <c r="G758" s="11"/>
      <c r="H758" s="11"/>
    </row>
    <row r="759">
      <c r="A759" s="11"/>
      <c r="G759" s="11"/>
      <c r="H759" s="11"/>
    </row>
    <row r="760">
      <c r="A760" s="11"/>
      <c r="G760" s="11"/>
      <c r="H760" s="11"/>
    </row>
    <row r="761">
      <c r="A761" s="11"/>
      <c r="G761" s="11"/>
      <c r="H761" s="11"/>
    </row>
    <row r="762">
      <c r="A762" s="11"/>
      <c r="G762" s="11"/>
      <c r="H762" s="11"/>
    </row>
    <row r="763">
      <c r="A763" s="11"/>
      <c r="G763" s="11"/>
      <c r="H763" s="11"/>
    </row>
    <row r="764">
      <c r="A764" s="11"/>
      <c r="G764" s="11"/>
      <c r="H764" s="11"/>
    </row>
    <row r="765">
      <c r="A765" s="11"/>
      <c r="G765" s="11"/>
      <c r="H765" s="11"/>
    </row>
    <row r="766">
      <c r="A766" s="11"/>
      <c r="G766" s="11"/>
      <c r="H766" s="11"/>
    </row>
    <row r="767">
      <c r="A767" s="11"/>
      <c r="G767" s="11"/>
      <c r="H767" s="11"/>
    </row>
    <row r="768">
      <c r="A768" s="11"/>
      <c r="G768" s="11"/>
      <c r="H768" s="11"/>
    </row>
    <row r="769">
      <c r="A769" s="11"/>
      <c r="G769" s="11"/>
      <c r="H769" s="11"/>
    </row>
    <row r="770">
      <c r="A770" s="11"/>
      <c r="G770" s="11"/>
      <c r="H770" s="11"/>
    </row>
    <row r="771">
      <c r="A771" s="11"/>
      <c r="G771" s="11"/>
      <c r="H771" s="11"/>
    </row>
    <row r="772">
      <c r="A772" s="11"/>
      <c r="G772" s="11"/>
      <c r="H772" s="11"/>
    </row>
    <row r="773">
      <c r="A773" s="11"/>
      <c r="G773" s="11"/>
      <c r="H773" s="11"/>
    </row>
    <row r="774">
      <c r="A774" s="11"/>
      <c r="G774" s="11"/>
      <c r="H774" s="11"/>
    </row>
    <row r="775">
      <c r="A775" s="11"/>
      <c r="G775" s="11"/>
      <c r="H775" s="11"/>
    </row>
    <row r="776">
      <c r="A776" s="11"/>
      <c r="G776" s="11"/>
      <c r="H776" s="11"/>
    </row>
    <row r="777">
      <c r="A777" s="11"/>
      <c r="G777" s="11"/>
      <c r="H777" s="11"/>
    </row>
    <row r="778">
      <c r="A778" s="11"/>
      <c r="G778" s="11"/>
      <c r="H778" s="11"/>
    </row>
    <row r="779">
      <c r="A779" s="11"/>
      <c r="G779" s="11"/>
      <c r="H779" s="11"/>
    </row>
    <row r="780">
      <c r="A780" s="11"/>
      <c r="G780" s="11"/>
      <c r="H780" s="11"/>
    </row>
    <row r="781">
      <c r="A781" s="11"/>
      <c r="G781" s="11"/>
      <c r="H781" s="11"/>
    </row>
    <row r="782">
      <c r="A782" s="11"/>
      <c r="G782" s="11"/>
      <c r="H782" s="11"/>
    </row>
    <row r="783">
      <c r="A783" s="11"/>
      <c r="G783" s="11"/>
      <c r="H783" s="11"/>
    </row>
    <row r="784">
      <c r="A784" s="11"/>
      <c r="G784" s="11"/>
      <c r="H784" s="11"/>
    </row>
    <row r="785">
      <c r="A785" s="11"/>
      <c r="G785" s="11"/>
      <c r="H785" s="11"/>
    </row>
    <row r="786">
      <c r="A786" s="11"/>
      <c r="G786" s="11"/>
      <c r="H786" s="11"/>
    </row>
    <row r="787">
      <c r="A787" s="11"/>
      <c r="G787" s="11"/>
      <c r="H787" s="11"/>
    </row>
    <row r="788">
      <c r="A788" s="11"/>
      <c r="G788" s="11"/>
      <c r="H788" s="11"/>
    </row>
    <row r="789">
      <c r="A789" s="11"/>
      <c r="G789" s="11"/>
      <c r="H789" s="11"/>
    </row>
    <row r="790">
      <c r="A790" s="11"/>
      <c r="G790" s="11"/>
      <c r="H790" s="11"/>
    </row>
    <row r="791">
      <c r="A791" s="11"/>
      <c r="G791" s="11"/>
      <c r="H791" s="11"/>
    </row>
    <row r="792">
      <c r="A792" s="11"/>
      <c r="G792" s="11"/>
      <c r="H792" s="11"/>
    </row>
    <row r="793">
      <c r="A793" s="11"/>
      <c r="G793" s="11"/>
      <c r="H793" s="11"/>
    </row>
    <row r="794">
      <c r="A794" s="11"/>
      <c r="G794" s="11"/>
      <c r="H794" s="11"/>
    </row>
    <row r="795">
      <c r="A795" s="11"/>
      <c r="G795" s="11"/>
      <c r="H795" s="11"/>
    </row>
    <row r="796">
      <c r="A796" s="11"/>
      <c r="G796" s="11"/>
      <c r="H796" s="11"/>
    </row>
    <row r="797">
      <c r="A797" s="11"/>
      <c r="G797" s="11"/>
      <c r="H797" s="11"/>
    </row>
    <row r="798">
      <c r="A798" s="11"/>
      <c r="G798" s="11"/>
      <c r="H798" s="11"/>
    </row>
    <row r="799">
      <c r="A799" s="11"/>
      <c r="G799" s="11"/>
      <c r="H799" s="11"/>
    </row>
    <row r="800">
      <c r="A800" s="11"/>
      <c r="G800" s="11"/>
      <c r="H800" s="11"/>
    </row>
    <row r="801">
      <c r="A801" s="11"/>
      <c r="G801" s="11"/>
      <c r="H801" s="11"/>
    </row>
    <row r="802">
      <c r="A802" s="11"/>
      <c r="G802" s="11"/>
      <c r="H802" s="11"/>
    </row>
    <row r="803">
      <c r="A803" s="11"/>
      <c r="G803" s="11"/>
      <c r="H803" s="11"/>
    </row>
    <row r="804">
      <c r="A804" s="11"/>
      <c r="G804" s="11"/>
      <c r="H804" s="11"/>
    </row>
    <row r="805">
      <c r="A805" s="11"/>
      <c r="G805" s="11"/>
      <c r="H805" s="11"/>
    </row>
    <row r="806">
      <c r="A806" s="11"/>
      <c r="G806" s="11"/>
      <c r="H806" s="11"/>
    </row>
    <row r="807">
      <c r="A807" s="11"/>
      <c r="G807" s="11"/>
      <c r="H807" s="11"/>
    </row>
    <row r="808">
      <c r="A808" s="11"/>
      <c r="G808" s="11"/>
      <c r="H808" s="11"/>
    </row>
    <row r="809">
      <c r="A809" s="11"/>
      <c r="G809" s="11"/>
      <c r="H809" s="11"/>
    </row>
    <row r="810">
      <c r="A810" s="11"/>
      <c r="G810" s="11"/>
      <c r="H810" s="11"/>
    </row>
    <row r="811">
      <c r="A811" s="11"/>
      <c r="G811" s="11"/>
      <c r="H811" s="11"/>
    </row>
    <row r="812">
      <c r="A812" s="11"/>
      <c r="G812" s="11"/>
      <c r="H812" s="11"/>
    </row>
    <row r="813">
      <c r="A813" s="11"/>
      <c r="G813" s="11"/>
      <c r="H813" s="11"/>
    </row>
    <row r="814">
      <c r="A814" s="11"/>
      <c r="G814" s="11"/>
      <c r="H814" s="11"/>
    </row>
    <row r="815">
      <c r="A815" s="11"/>
      <c r="G815" s="11"/>
      <c r="H815" s="11"/>
    </row>
    <row r="816">
      <c r="A816" s="11"/>
      <c r="G816" s="11"/>
      <c r="H816" s="11"/>
    </row>
    <row r="817">
      <c r="A817" s="11"/>
      <c r="G817" s="11"/>
      <c r="H817" s="11"/>
    </row>
    <row r="818">
      <c r="A818" s="11"/>
      <c r="G818" s="11"/>
      <c r="H818" s="11"/>
    </row>
    <row r="819">
      <c r="A819" s="11"/>
      <c r="G819" s="11"/>
      <c r="H819" s="11"/>
    </row>
    <row r="820">
      <c r="A820" s="11"/>
      <c r="G820" s="11"/>
      <c r="H820" s="11"/>
    </row>
    <row r="821">
      <c r="A821" s="11"/>
      <c r="G821" s="11"/>
      <c r="H821" s="11"/>
    </row>
    <row r="822">
      <c r="A822" s="11"/>
      <c r="G822" s="11"/>
      <c r="H822" s="11"/>
    </row>
    <row r="823">
      <c r="A823" s="11"/>
      <c r="G823" s="11"/>
      <c r="H823" s="11"/>
    </row>
    <row r="824">
      <c r="A824" s="11"/>
      <c r="G824" s="11"/>
      <c r="H824" s="11"/>
    </row>
    <row r="825">
      <c r="A825" s="11"/>
      <c r="G825" s="11"/>
      <c r="H825" s="11"/>
    </row>
    <row r="826">
      <c r="A826" s="11"/>
      <c r="G826" s="11"/>
      <c r="H826" s="11"/>
    </row>
    <row r="827">
      <c r="A827" s="11"/>
      <c r="G827" s="11"/>
      <c r="H827" s="11"/>
    </row>
    <row r="828">
      <c r="A828" s="11"/>
      <c r="G828" s="11"/>
      <c r="H828" s="11"/>
    </row>
    <row r="829">
      <c r="A829" s="11"/>
      <c r="G829" s="11"/>
      <c r="H829" s="11"/>
    </row>
    <row r="830">
      <c r="A830" s="11"/>
      <c r="G830" s="11"/>
      <c r="H830" s="11"/>
    </row>
    <row r="831">
      <c r="A831" s="11"/>
      <c r="G831" s="11"/>
      <c r="H831" s="11"/>
    </row>
    <row r="832">
      <c r="A832" s="11"/>
      <c r="G832" s="11"/>
      <c r="H832" s="11"/>
    </row>
    <row r="833">
      <c r="A833" s="11"/>
      <c r="G833" s="11"/>
      <c r="H833" s="11"/>
    </row>
    <row r="834">
      <c r="A834" s="11"/>
      <c r="G834" s="11"/>
      <c r="H834" s="11"/>
    </row>
    <row r="835">
      <c r="A835" s="11"/>
      <c r="G835" s="11"/>
      <c r="H835" s="11"/>
    </row>
    <row r="836">
      <c r="A836" s="11"/>
      <c r="G836" s="11"/>
      <c r="H836" s="11"/>
    </row>
    <row r="837">
      <c r="A837" s="11"/>
      <c r="G837" s="11"/>
      <c r="H837" s="11"/>
    </row>
    <row r="838">
      <c r="A838" s="11"/>
      <c r="G838" s="11"/>
      <c r="H838" s="11"/>
    </row>
    <row r="839">
      <c r="A839" s="11"/>
      <c r="G839" s="11"/>
      <c r="H839" s="11"/>
    </row>
    <row r="840">
      <c r="A840" s="11"/>
      <c r="G840" s="11"/>
      <c r="H840" s="11"/>
    </row>
    <row r="841">
      <c r="A841" s="11"/>
      <c r="G841" s="11"/>
      <c r="H841" s="11"/>
    </row>
    <row r="842">
      <c r="A842" s="11"/>
      <c r="G842" s="11"/>
      <c r="H842" s="11"/>
    </row>
    <row r="843">
      <c r="A843" s="11"/>
      <c r="G843" s="11"/>
      <c r="H843" s="11"/>
    </row>
    <row r="844">
      <c r="A844" s="11"/>
      <c r="G844" s="11"/>
      <c r="H844" s="11"/>
    </row>
    <row r="845">
      <c r="A845" s="11"/>
      <c r="G845" s="11"/>
      <c r="H845" s="11"/>
    </row>
    <row r="846">
      <c r="A846" s="11"/>
      <c r="G846" s="11"/>
      <c r="H846" s="11"/>
    </row>
    <row r="847">
      <c r="A847" s="11"/>
      <c r="G847" s="11"/>
      <c r="H847" s="11"/>
    </row>
    <row r="848">
      <c r="A848" s="11"/>
      <c r="G848" s="11"/>
      <c r="H848" s="11"/>
    </row>
    <row r="849">
      <c r="A849" s="11"/>
      <c r="G849" s="11"/>
      <c r="H849" s="11"/>
    </row>
    <row r="850">
      <c r="A850" s="11"/>
      <c r="G850" s="11"/>
      <c r="H850" s="11"/>
    </row>
    <row r="851">
      <c r="A851" s="11"/>
      <c r="G851" s="11"/>
      <c r="H851" s="11"/>
    </row>
    <row r="852">
      <c r="A852" s="11"/>
      <c r="G852" s="11"/>
      <c r="H852" s="11"/>
    </row>
    <row r="853">
      <c r="A853" s="11"/>
      <c r="G853" s="11"/>
      <c r="H853" s="11"/>
    </row>
    <row r="854">
      <c r="A854" s="11"/>
      <c r="G854" s="11"/>
      <c r="H854" s="11"/>
    </row>
    <row r="855">
      <c r="A855" s="11"/>
      <c r="G855" s="11"/>
      <c r="H855" s="11"/>
    </row>
    <row r="856">
      <c r="A856" s="11"/>
      <c r="G856" s="11"/>
      <c r="H856" s="11"/>
    </row>
    <row r="857">
      <c r="A857" s="11"/>
      <c r="G857" s="11"/>
      <c r="H857" s="11"/>
    </row>
    <row r="858">
      <c r="A858" s="11"/>
      <c r="G858" s="11"/>
      <c r="H858" s="11"/>
    </row>
    <row r="859">
      <c r="A859" s="11"/>
      <c r="G859" s="11"/>
      <c r="H859" s="11"/>
    </row>
    <row r="860">
      <c r="A860" s="11"/>
      <c r="G860" s="11"/>
      <c r="H860" s="11"/>
    </row>
    <row r="861">
      <c r="A861" s="11"/>
      <c r="G861" s="11"/>
      <c r="H861" s="11"/>
    </row>
    <row r="862">
      <c r="A862" s="11"/>
      <c r="G862" s="11"/>
      <c r="H862" s="11"/>
    </row>
    <row r="863">
      <c r="A863" s="11"/>
      <c r="G863" s="11"/>
      <c r="H863" s="11"/>
    </row>
    <row r="864">
      <c r="A864" s="11"/>
      <c r="G864" s="11"/>
      <c r="H864" s="11"/>
    </row>
    <row r="865">
      <c r="A865" s="11"/>
      <c r="G865" s="11"/>
      <c r="H865" s="11"/>
    </row>
    <row r="866">
      <c r="A866" s="11"/>
      <c r="G866" s="11"/>
      <c r="H866" s="11"/>
    </row>
    <row r="867">
      <c r="A867" s="11"/>
      <c r="G867" s="11"/>
      <c r="H867" s="11"/>
    </row>
    <row r="868">
      <c r="A868" s="11"/>
      <c r="G868" s="11"/>
      <c r="H868" s="11"/>
    </row>
    <row r="869">
      <c r="A869" s="11"/>
      <c r="G869" s="11"/>
      <c r="H869" s="11"/>
    </row>
    <row r="870">
      <c r="A870" s="11"/>
      <c r="G870" s="11"/>
      <c r="H870" s="11"/>
    </row>
    <row r="871">
      <c r="A871" s="11"/>
      <c r="G871" s="11"/>
      <c r="H871" s="11"/>
    </row>
    <row r="872">
      <c r="A872" s="11"/>
      <c r="G872" s="11"/>
      <c r="H872" s="11"/>
    </row>
    <row r="873">
      <c r="A873" s="11"/>
      <c r="G873" s="11"/>
      <c r="H873" s="11"/>
    </row>
    <row r="874">
      <c r="A874" s="11"/>
      <c r="G874" s="11"/>
      <c r="H874" s="11"/>
    </row>
    <row r="875">
      <c r="A875" s="11"/>
      <c r="G875" s="11"/>
      <c r="H875" s="11"/>
    </row>
    <row r="876">
      <c r="A876" s="11"/>
      <c r="G876" s="11"/>
      <c r="H876" s="11"/>
    </row>
    <row r="877">
      <c r="A877" s="11"/>
      <c r="G877" s="11"/>
      <c r="H877" s="11"/>
    </row>
    <row r="878">
      <c r="A878" s="11"/>
      <c r="G878" s="11"/>
      <c r="H878" s="11"/>
    </row>
    <row r="879">
      <c r="A879" s="11"/>
      <c r="G879" s="11"/>
      <c r="H879" s="11"/>
    </row>
    <row r="880">
      <c r="A880" s="11"/>
      <c r="G880" s="11"/>
      <c r="H880" s="11"/>
    </row>
    <row r="881">
      <c r="A881" s="11"/>
      <c r="G881" s="11"/>
      <c r="H881" s="11"/>
    </row>
    <row r="882">
      <c r="A882" s="11"/>
      <c r="G882" s="11"/>
      <c r="H882" s="11"/>
    </row>
    <row r="883">
      <c r="A883" s="11"/>
      <c r="G883" s="11"/>
      <c r="H883" s="11"/>
    </row>
    <row r="884">
      <c r="A884" s="11"/>
      <c r="G884" s="11"/>
      <c r="H884" s="11"/>
    </row>
    <row r="885">
      <c r="A885" s="11"/>
      <c r="G885" s="11"/>
      <c r="H885" s="11"/>
    </row>
    <row r="886">
      <c r="A886" s="11"/>
      <c r="G886" s="11"/>
      <c r="H886" s="11"/>
    </row>
    <row r="887">
      <c r="A887" s="11"/>
      <c r="G887" s="11"/>
      <c r="H887" s="11"/>
    </row>
    <row r="888">
      <c r="A888" s="11"/>
      <c r="G888" s="11"/>
      <c r="H888" s="11"/>
    </row>
    <row r="889">
      <c r="A889" s="11"/>
      <c r="G889" s="11"/>
      <c r="H889" s="11"/>
    </row>
    <row r="890">
      <c r="A890" s="11"/>
      <c r="G890" s="11"/>
      <c r="H890" s="11"/>
    </row>
    <row r="891">
      <c r="A891" s="11"/>
      <c r="G891" s="11"/>
      <c r="H891" s="11"/>
    </row>
    <row r="892">
      <c r="A892" s="11"/>
      <c r="G892" s="11"/>
      <c r="H892" s="11"/>
    </row>
    <row r="893">
      <c r="A893" s="11"/>
      <c r="G893" s="11"/>
      <c r="H893" s="11"/>
    </row>
    <row r="894">
      <c r="A894" s="11"/>
      <c r="G894" s="11"/>
      <c r="H894" s="11"/>
    </row>
    <row r="895">
      <c r="A895" s="11"/>
      <c r="G895" s="11"/>
      <c r="H895" s="11"/>
    </row>
    <row r="896">
      <c r="A896" s="11"/>
      <c r="G896" s="11"/>
      <c r="H896" s="11"/>
    </row>
    <row r="897">
      <c r="A897" s="11"/>
      <c r="G897" s="11"/>
      <c r="H897" s="11"/>
    </row>
    <row r="898">
      <c r="A898" s="11"/>
      <c r="G898" s="11"/>
      <c r="H898" s="11"/>
    </row>
    <row r="899">
      <c r="A899" s="11"/>
      <c r="G899" s="11"/>
      <c r="H899" s="11"/>
    </row>
    <row r="900">
      <c r="A900" s="11"/>
      <c r="G900" s="11"/>
      <c r="H900" s="11"/>
    </row>
    <row r="901">
      <c r="A901" s="11"/>
      <c r="G901" s="11"/>
      <c r="H901" s="11"/>
    </row>
    <row r="902">
      <c r="A902" s="11"/>
      <c r="G902" s="11"/>
      <c r="H902" s="11"/>
    </row>
    <row r="903">
      <c r="A903" s="11"/>
      <c r="G903" s="11"/>
      <c r="H903" s="11"/>
    </row>
    <row r="904">
      <c r="A904" s="11"/>
      <c r="G904" s="11"/>
      <c r="H904" s="11"/>
    </row>
    <row r="905">
      <c r="A905" s="11"/>
      <c r="G905" s="11"/>
      <c r="H905" s="11"/>
    </row>
    <row r="906">
      <c r="A906" s="11"/>
      <c r="G906" s="11"/>
      <c r="H906" s="11"/>
    </row>
    <row r="907">
      <c r="A907" s="11"/>
      <c r="G907" s="11"/>
      <c r="H907" s="11"/>
    </row>
    <row r="908">
      <c r="A908" s="11"/>
      <c r="G908" s="11"/>
      <c r="H908" s="11"/>
    </row>
    <row r="909">
      <c r="A909" s="11"/>
      <c r="G909" s="11"/>
      <c r="H909" s="11"/>
    </row>
    <row r="910">
      <c r="A910" s="11"/>
      <c r="G910" s="11"/>
      <c r="H910" s="11"/>
    </row>
    <row r="911">
      <c r="A911" s="11"/>
      <c r="G911" s="11"/>
      <c r="H911" s="11"/>
    </row>
    <row r="912">
      <c r="A912" s="11"/>
      <c r="G912" s="11"/>
      <c r="H912" s="11"/>
    </row>
    <row r="913">
      <c r="A913" s="11"/>
      <c r="G913" s="11"/>
      <c r="H913" s="11"/>
    </row>
    <row r="914">
      <c r="A914" s="11"/>
      <c r="G914" s="11"/>
      <c r="H914" s="11"/>
    </row>
    <row r="915">
      <c r="A915" s="11"/>
      <c r="G915" s="11"/>
      <c r="H915" s="11"/>
    </row>
    <row r="916">
      <c r="A916" s="11"/>
      <c r="G916" s="11"/>
      <c r="H916" s="11"/>
    </row>
    <row r="917">
      <c r="A917" s="11"/>
      <c r="G917" s="11"/>
      <c r="H917" s="11"/>
    </row>
    <row r="918">
      <c r="A918" s="11"/>
      <c r="G918" s="11"/>
      <c r="H918" s="11"/>
    </row>
    <row r="919">
      <c r="A919" s="11"/>
      <c r="G919" s="11"/>
      <c r="H919" s="11"/>
    </row>
    <row r="920">
      <c r="A920" s="11"/>
      <c r="G920" s="11"/>
      <c r="H920" s="11"/>
    </row>
    <row r="921">
      <c r="A921" s="11"/>
      <c r="G921" s="11"/>
      <c r="H921" s="11"/>
    </row>
    <row r="922">
      <c r="A922" s="11"/>
      <c r="G922" s="11"/>
      <c r="H922" s="11"/>
    </row>
    <row r="923">
      <c r="A923" s="11"/>
      <c r="G923" s="11"/>
      <c r="H923" s="11"/>
    </row>
    <row r="924">
      <c r="A924" s="11"/>
      <c r="G924" s="11"/>
      <c r="H924" s="11"/>
    </row>
    <row r="925">
      <c r="A925" s="11"/>
      <c r="G925" s="11"/>
      <c r="H925" s="11"/>
    </row>
    <row r="926">
      <c r="A926" s="11"/>
      <c r="G926" s="11"/>
      <c r="H926" s="11"/>
    </row>
    <row r="927">
      <c r="A927" s="11"/>
      <c r="G927" s="11"/>
      <c r="H927" s="11"/>
    </row>
    <row r="928">
      <c r="A928" s="11"/>
      <c r="G928" s="11"/>
      <c r="H928" s="11"/>
    </row>
    <row r="929">
      <c r="A929" s="11"/>
      <c r="G929" s="11"/>
      <c r="H929" s="11"/>
    </row>
    <row r="930">
      <c r="A930" s="11"/>
      <c r="G930" s="11"/>
      <c r="H930" s="11"/>
    </row>
    <row r="931">
      <c r="A931" s="11"/>
      <c r="G931" s="11"/>
      <c r="H931" s="11"/>
    </row>
    <row r="932">
      <c r="A932" s="11"/>
      <c r="G932" s="11"/>
      <c r="H932" s="11"/>
    </row>
    <row r="933">
      <c r="A933" s="11"/>
      <c r="G933" s="11"/>
      <c r="H933" s="11"/>
    </row>
    <row r="934">
      <c r="A934" s="11"/>
      <c r="G934" s="11"/>
      <c r="H934" s="11"/>
    </row>
    <row r="935">
      <c r="A935" s="11"/>
      <c r="G935" s="11"/>
      <c r="H935" s="11"/>
    </row>
    <row r="936">
      <c r="A936" s="11"/>
      <c r="G936" s="11"/>
      <c r="H936" s="11"/>
    </row>
    <row r="937">
      <c r="A937" s="11"/>
      <c r="G937" s="11"/>
      <c r="H937" s="11"/>
    </row>
    <row r="938">
      <c r="A938" s="11"/>
      <c r="G938" s="11"/>
      <c r="H938" s="11"/>
    </row>
    <row r="939">
      <c r="A939" s="11"/>
      <c r="G939" s="11"/>
      <c r="H939" s="11"/>
    </row>
    <row r="940">
      <c r="A940" s="11"/>
      <c r="G940" s="11"/>
      <c r="H940" s="11"/>
    </row>
    <row r="941">
      <c r="A941" s="11"/>
      <c r="G941" s="11"/>
      <c r="H941" s="11"/>
    </row>
    <row r="942">
      <c r="A942" s="11"/>
      <c r="G942" s="11"/>
      <c r="H942" s="11"/>
    </row>
    <row r="943">
      <c r="A943" s="11"/>
      <c r="G943" s="11"/>
      <c r="H943" s="11"/>
    </row>
    <row r="944">
      <c r="A944" s="11"/>
      <c r="G944" s="11"/>
      <c r="H944" s="11"/>
    </row>
    <row r="945">
      <c r="A945" s="11"/>
      <c r="G945" s="11"/>
      <c r="H945" s="11"/>
    </row>
    <row r="946">
      <c r="A946" s="11"/>
      <c r="G946" s="11"/>
      <c r="H946" s="11"/>
    </row>
    <row r="947">
      <c r="A947" s="11"/>
      <c r="G947" s="11"/>
      <c r="H947" s="11"/>
    </row>
    <row r="948">
      <c r="A948" s="11"/>
      <c r="G948" s="11"/>
      <c r="H948" s="11"/>
    </row>
    <row r="949">
      <c r="A949" s="11"/>
      <c r="G949" s="11"/>
      <c r="H949" s="11"/>
    </row>
    <row r="950">
      <c r="A950" s="11"/>
      <c r="G950" s="11"/>
      <c r="H950" s="11"/>
    </row>
    <row r="951">
      <c r="A951" s="11"/>
      <c r="G951" s="11"/>
      <c r="H951" s="11"/>
    </row>
    <row r="952">
      <c r="A952" s="11"/>
      <c r="G952" s="11"/>
      <c r="H952" s="11"/>
    </row>
    <row r="953">
      <c r="A953" s="11"/>
      <c r="G953" s="11"/>
      <c r="H953" s="11"/>
    </row>
    <row r="954">
      <c r="A954" s="11"/>
      <c r="G954" s="11"/>
      <c r="H954" s="11"/>
    </row>
    <row r="955">
      <c r="A955" s="11"/>
      <c r="G955" s="11"/>
      <c r="H955" s="11"/>
    </row>
    <row r="956">
      <c r="A956" s="11"/>
      <c r="G956" s="11"/>
      <c r="H956" s="11"/>
    </row>
    <row r="957">
      <c r="A957" s="11"/>
      <c r="G957" s="11"/>
      <c r="H957" s="11"/>
    </row>
    <row r="958">
      <c r="A958" s="11"/>
      <c r="G958" s="11"/>
      <c r="H958" s="11"/>
    </row>
    <row r="959">
      <c r="A959" s="11"/>
      <c r="G959" s="11"/>
      <c r="H959" s="11"/>
    </row>
    <row r="960">
      <c r="A960" s="11"/>
      <c r="G960" s="11"/>
      <c r="H960" s="11"/>
    </row>
    <row r="961">
      <c r="A961" s="11"/>
      <c r="G961" s="11"/>
      <c r="H961" s="11"/>
    </row>
    <row r="962">
      <c r="A962" s="11"/>
      <c r="G962" s="11"/>
      <c r="H962" s="11"/>
    </row>
    <row r="963">
      <c r="A963" s="11"/>
      <c r="G963" s="11"/>
      <c r="H963" s="11"/>
    </row>
    <row r="964">
      <c r="A964" s="11"/>
      <c r="G964" s="11"/>
      <c r="H964" s="11"/>
    </row>
    <row r="965">
      <c r="A965" s="11"/>
      <c r="G965" s="11"/>
      <c r="H965" s="11"/>
    </row>
    <row r="966">
      <c r="A966" s="11"/>
      <c r="G966" s="11"/>
      <c r="H966" s="11"/>
    </row>
    <row r="967">
      <c r="A967" s="11"/>
      <c r="G967" s="11"/>
      <c r="H967" s="11"/>
    </row>
    <row r="968">
      <c r="A968" s="11"/>
      <c r="G968" s="11"/>
      <c r="H968" s="11"/>
    </row>
    <row r="969">
      <c r="A969" s="11"/>
      <c r="G969" s="11"/>
      <c r="H969" s="11"/>
    </row>
    <row r="970">
      <c r="A970" s="11"/>
      <c r="G970" s="11"/>
      <c r="H970" s="11"/>
    </row>
    <row r="971">
      <c r="A971" s="11"/>
      <c r="G971" s="11"/>
      <c r="H971" s="11"/>
    </row>
    <row r="972">
      <c r="A972" s="11"/>
      <c r="G972" s="11"/>
      <c r="H972" s="11"/>
    </row>
    <row r="973">
      <c r="A973" s="11"/>
      <c r="G973" s="11"/>
      <c r="H973" s="11"/>
    </row>
    <row r="974">
      <c r="A974" s="11"/>
      <c r="G974" s="11"/>
      <c r="H974" s="11"/>
    </row>
    <row r="975">
      <c r="A975" s="11"/>
      <c r="G975" s="11"/>
      <c r="H975" s="11"/>
    </row>
    <row r="976">
      <c r="A976" s="11"/>
      <c r="G976" s="11"/>
      <c r="H976" s="11"/>
    </row>
    <row r="977">
      <c r="A977" s="11"/>
      <c r="G977" s="11"/>
      <c r="H977" s="11"/>
    </row>
    <row r="978">
      <c r="A978" s="11"/>
      <c r="G978" s="11"/>
      <c r="H978" s="11"/>
    </row>
    <row r="979">
      <c r="A979" s="11"/>
      <c r="G979" s="11"/>
      <c r="H979" s="11"/>
    </row>
    <row r="980">
      <c r="A980" s="11"/>
      <c r="G980" s="11"/>
      <c r="H980" s="11"/>
    </row>
    <row r="981">
      <c r="A981" s="11"/>
      <c r="G981" s="11"/>
      <c r="H981" s="11"/>
    </row>
    <row r="982">
      <c r="A982" s="11"/>
      <c r="G982" s="11"/>
      <c r="H982" s="11"/>
    </row>
    <row r="983">
      <c r="A983" s="11"/>
      <c r="G983" s="11"/>
      <c r="H983" s="11"/>
    </row>
    <row r="984">
      <c r="A984" s="11"/>
      <c r="G984" s="11"/>
      <c r="H984" s="11"/>
    </row>
    <row r="985">
      <c r="A985" s="11"/>
      <c r="G985" s="11"/>
      <c r="H985" s="11"/>
    </row>
    <row r="986">
      <c r="A986" s="11"/>
      <c r="G986" s="11"/>
      <c r="H986" s="11"/>
    </row>
    <row r="987">
      <c r="A987" s="11"/>
      <c r="G987" s="11"/>
      <c r="H987" s="11"/>
    </row>
    <row r="988">
      <c r="A988" s="11"/>
      <c r="G988" s="11"/>
      <c r="H988" s="11"/>
    </row>
    <row r="989">
      <c r="A989" s="11"/>
      <c r="G989" s="11"/>
      <c r="H989" s="11"/>
    </row>
    <row r="990">
      <c r="A990" s="11"/>
      <c r="G990" s="11"/>
      <c r="H990" s="11"/>
    </row>
    <row r="991">
      <c r="A991" s="11"/>
      <c r="G991" s="11"/>
      <c r="H991" s="11"/>
    </row>
    <row r="992">
      <c r="A992" s="11"/>
      <c r="G992" s="11"/>
      <c r="H992" s="11"/>
    </row>
    <row r="993">
      <c r="A993" s="11"/>
      <c r="G993" s="11"/>
      <c r="H993" s="11"/>
    </row>
    <row r="994">
      <c r="A994" s="11"/>
      <c r="G994" s="11"/>
      <c r="H994" s="11"/>
    </row>
    <row r="995">
      <c r="A995" s="11"/>
      <c r="G995" s="11"/>
      <c r="H995" s="11"/>
    </row>
    <row r="996">
      <c r="A996" s="11"/>
      <c r="G996" s="11"/>
      <c r="H996" s="11"/>
    </row>
    <row r="997">
      <c r="A997" s="11"/>
      <c r="G997" s="11"/>
      <c r="H997" s="11"/>
    </row>
    <row r="998">
      <c r="A998" s="11"/>
      <c r="G998" s="11"/>
      <c r="H998" s="11"/>
    </row>
    <row r="999">
      <c r="A999" s="11"/>
      <c r="G999" s="11"/>
      <c r="H999" s="11"/>
    </row>
    <row r="1000">
      <c r="A1000" s="11"/>
      <c r="G1000" s="11"/>
      <c r="H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680</v>
      </c>
      <c r="B1" s="4" t="s">
        <v>3</v>
      </c>
      <c r="C1" s="4" t="s">
        <v>681</v>
      </c>
      <c r="D1" s="4" t="s">
        <v>682</v>
      </c>
    </row>
    <row r="2">
      <c r="A2" s="2" t="s">
        <v>683</v>
      </c>
      <c r="B2" s="4" t="s">
        <v>141</v>
      </c>
      <c r="C2" s="4" t="s">
        <v>684</v>
      </c>
      <c r="D2" s="4">
        <v>2.0</v>
      </c>
      <c r="G2" s="4" t="s">
        <v>685</v>
      </c>
      <c r="H2" s="4" t="s">
        <v>686</v>
      </c>
    </row>
    <row r="3">
      <c r="A3" s="12" t="s">
        <v>687</v>
      </c>
      <c r="B3" s="4" t="s">
        <v>369</v>
      </c>
      <c r="C3" s="4" t="s">
        <v>688</v>
      </c>
      <c r="D3" s="4">
        <v>2.0</v>
      </c>
      <c r="G3" s="4" t="s">
        <v>499</v>
      </c>
      <c r="H3" s="4" t="s">
        <v>689</v>
      </c>
    </row>
    <row r="4">
      <c r="B4" s="4" t="s">
        <v>141</v>
      </c>
      <c r="C4" s="4" t="s">
        <v>690</v>
      </c>
      <c r="D4" s="4">
        <v>2.0</v>
      </c>
      <c r="G4" s="4" t="s">
        <v>629</v>
      </c>
      <c r="H4" s="4" t="s">
        <v>691</v>
      </c>
    </row>
    <row r="5">
      <c r="B5" s="4" t="s">
        <v>551</v>
      </c>
      <c r="C5" s="4" t="s">
        <v>688</v>
      </c>
      <c r="D5" s="4">
        <v>3.0</v>
      </c>
      <c r="G5" s="4" t="s">
        <v>692</v>
      </c>
      <c r="H5" s="4" t="s">
        <v>693</v>
      </c>
    </row>
    <row r="6">
      <c r="B6" s="4" t="s">
        <v>565</v>
      </c>
      <c r="C6" s="4" t="s">
        <v>694</v>
      </c>
      <c r="D6" s="4">
        <v>2.0</v>
      </c>
    </row>
    <row r="7">
      <c r="A7" s="2" t="s">
        <v>695</v>
      </c>
      <c r="B7" s="4" t="s">
        <v>141</v>
      </c>
      <c r="C7" s="4" t="s">
        <v>684</v>
      </c>
      <c r="D7" s="4">
        <v>2.0</v>
      </c>
    </row>
    <row r="8">
      <c r="A8" s="4" t="s">
        <v>696</v>
      </c>
      <c r="B8" s="4" t="s">
        <v>369</v>
      </c>
      <c r="C8" s="4" t="s">
        <v>688</v>
      </c>
      <c r="D8" s="4">
        <v>1.0</v>
      </c>
    </row>
    <row r="9">
      <c r="B9" s="4" t="s">
        <v>141</v>
      </c>
      <c r="C9" s="4" t="s">
        <v>690</v>
      </c>
      <c r="D9" s="4">
        <v>1.0</v>
      </c>
    </row>
    <row r="10">
      <c r="B10" s="4" t="s">
        <v>52</v>
      </c>
      <c r="C10" s="4" t="s">
        <v>688</v>
      </c>
      <c r="D10" s="4">
        <v>1.0</v>
      </c>
      <c r="E10" s="4" t="s">
        <v>697</v>
      </c>
    </row>
    <row r="11">
      <c r="A11" s="2" t="s">
        <v>698</v>
      </c>
      <c r="B11" s="4" t="s">
        <v>141</v>
      </c>
      <c r="C11" s="4" t="s">
        <v>690</v>
      </c>
      <c r="D11" s="4">
        <v>2.0</v>
      </c>
    </row>
    <row r="12">
      <c r="A12" s="13" t="s">
        <v>687</v>
      </c>
      <c r="B12" s="4" t="s">
        <v>699</v>
      </c>
      <c r="C12" s="4" t="s">
        <v>688</v>
      </c>
      <c r="D12" s="4">
        <v>3.0</v>
      </c>
    </row>
    <row r="13">
      <c r="A13" s="4"/>
      <c r="B13" s="4" t="s">
        <v>551</v>
      </c>
      <c r="C13" s="4" t="s">
        <v>688</v>
      </c>
      <c r="D13" s="4">
        <v>1.0</v>
      </c>
    </row>
    <row r="14">
      <c r="A14" s="4"/>
      <c r="B14" s="4" t="s">
        <v>565</v>
      </c>
      <c r="C14" s="4" t="s">
        <v>694</v>
      </c>
      <c r="D14" s="4">
        <v>0.0</v>
      </c>
    </row>
    <row r="15">
      <c r="A15" s="4"/>
      <c r="B15" s="4" t="s">
        <v>141</v>
      </c>
      <c r="C15" s="4" t="s">
        <v>700</v>
      </c>
      <c r="D15" s="4">
        <v>1.0</v>
      </c>
    </row>
    <row r="16">
      <c r="A16" s="2" t="s">
        <v>701</v>
      </c>
      <c r="B16" s="4" t="s">
        <v>141</v>
      </c>
      <c r="C16" s="4" t="s">
        <v>690</v>
      </c>
      <c r="D16" s="4">
        <v>2.0</v>
      </c>
    </row>
    <row r="17">
      <c r="A17" s="12" t="s">
        <v>702</v>
      </c>
      <c r="B17" s="4" t="s">
        <v>369</v>
      </c>
      <c r="C17" s="4" t="s">
        <v>688</v>
      </c>
      <c r="D17" s="4">
        <v>2.0</v>
      </c>
    </row>
    <row r="18">
      <c r="B18" s="4" t="s">
        <v>141</v>
      </c>
      <c r="C18" s="4" t="s">
        <v>684</v>
      </c>
      <c r="D18" s="4">
        <v>2.0</v>
      </c>
    </row>
    <row r="20">
      <c r="A20" s="2" t="s">
        <v>703</v>
      </c>
      <c r="B20" s="4" t="s">
        <v>141</v>
      </c>
      <c r="C20" s="4" t="s">
        <v>684</v>
      </c>
      <c r="D20" s="4">
        <v>4.0</v>
      </c>
    </row>
    <row r="21">
      <c r="A21" s="4" t="s">
        <v>704</v>
      </c>
      <c r="B21" s="4" t="s">
        <v>369</v>
      </c>
      <c r="C21" s="4" t="s">
        <v>688</v>
      </c>
      <c r="D21" s="4">
        <v>2.0</v>
      </c>
    </row>
    <row r="22">
      <c r="B22" s="4" t="s">
        <v>141</v>
      </c>
      <c r="C22" s="4" t="s">
        <v>690</v>
      </c>
      <c r="D22" s="4">
        <v>2.0</v>
      </c>
    </row>
    <row r="23">
      <c r="B23" s="4" t="s">
        <v>551</v>
      </c>
      <c r="C23" s="4" t="s">
        <v>688</v>
      </c>
      <c r="D23" s="4">
        <v>2.0</v>
      </c>
    </row>
    <row r="24">
      <c r="B24" s="4" t="s">
        <v>565</v>
      </c>
      <c r="C24" s="4" t="s">
        <v>694</v>
      </c>
      <c r="D24" s="4">
        <v>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2.88"/>
    <col customWidth="1" min="2" max="2" width="6.75"/>
    <col customWidth="1" min="3" max="3" width="5.5"/>
    <col customWidth="1" min="4" max="4" width="14.13"/>
    <col customWidth="1" min="5" max="5" width="10.5"/>
    <col customWidth="1" min="6" max="6" width="20.0"/>
    <col customWidth="1" min="7" max="7" width="5.88"/>
    <col customWidth="1" min="8" max="8" width="6.25"/>
    <col customWidth="1" min="9" max="9" width="11.5"/>
    <col customWidth="1" min="10" max="10" width="7.0"/>
    <col customWidth="1" min="11" max="11" width="4.25"/>
    <col customWidth="1" min="12" max="12" width="63.38"/>
    <col customWidth="1" min="21" max="21" width="85.0"/>
    <col customWidth="1" min="23" max="23" width="20.5"/>
    <col customWidth="1" min="25" max="26" width="37.75"/>
  </cols>
  <sheetData>
    <row r="1">
      <c r="A1" s="1" t="s">
        <v>0</v>
      </c>
      <c r="B1" s="2" t="s">
        <v>1</v>
      </c>
      <c r="C1" s="2" t="s">
        <v>2</v>
      </c>
      <c r="D1" s="2" t="s">
        <v>3</v>
      </c>
      <c r="E1" s="2" t="s">
        <v>4</v>
      </c>
      <c r="F1" s="1" t="s">
        <v>5</v>
      </c>
      <c r="G1" s="1" t="s">
        <v>6</v>
      </c>
      <c r="H1" s="1" t="s">
        <v>7</v>
      </c>
      <c r="I1" s="2" t="s">
        <v>8</v>
      </c>
      <c r="J1" s="2" t="s">
        <v>9</v>
      </c>
      <c r="K1" s="2"/>
      <c r="L1" s="2" t="s">
        <v>10</v>
      </c>
      <c r="V1" s="2" t="s">
        <v>705</v>
      </c>
      <c r="Y1" s="2"/>
      <c r="Z1" s="2" t="s">
        <v>706</v>
      </c>
    </row>
    <row r="2">
      <c r="A2" s="3" t="s">
        <v>707</v>
      </c>
      <c r="B2" s="4" t="s">
        <v>13</v>
      </c>
      <c r="C2" s="4" t="s">
        <v>14</v>
      </c>
      <c r="D2" s="4" t="s">
        <v>708</v>
      </c>
      <c r="E2" s="4" t="s">
        <v>16</v>
      </c>
      <c r="F2" s="3" t="s">
        <v>709</v>
      </c>
      <c r="G2" s="3" t="s">
        <v>710</v>
      </c>
      <c r="H2" s="3"/>
      <c r="I2" s="4"/>
      <c r="J2" s="4"/>
      <c r="K2" s="4"/>
      <c r="L2" s="4" t="s">
        <v>711</v>
      </c>
      <c r="V2" s="4">
        <v>1.0</v>
      </c>
    </row>
    <row r="3">
      <c r="A3" s="3" t="s">
        <v>712</v>
      </c>
      <c r="B3" s="4" t="s">
        <v>13</v>
      </c>
      <c r="C3" s="4" t="s">
        <v>23</v>
      </c>
      <c r="D3" s="4" t="s">
        <v>24</v>
      </c>
      <c r="E3" s="4" t="s">
        <v>713</v>
      </c>
      <c r="F3" s="3" t="s">
        <v>714</v>
      </c>
      <c r="G3" s="3" t="s">
        <v>710</v>
      </c>
      <c r="H3" s="3"/>
      <c r="I3" s="4"/>
      <c r="J3" s="4"/>
      <c r="K3" s="4"/>
      <c r="L3" s="4" t="s">
        <v>715</v>
      </c>
      <c r="V3" s="4">
        <v>1.0</v>
      </c>
    </row>
    <row r="4">
      <c r="A4" s="3" t="s">
        <v>716</v>
      </c>
      <c r="B4" s="4" t="s">
        <v>13</v>
      </c>
      <c r="C4" s="4" t="s">
        <v>28</v>
      </c>
      <c r="D4" s="4" t="s">
        <v>717</v>
      </c>
      <c r="E4" s="4" t="s">
        <v>718</v>
      </c>
      <c r="F4" s="3" t="s">
        <v>719</v>
      </c>
      <c r="G4" s="3" t="s">
        <v>710</v>
      </c>
      <c r="H4" s="3"/>
      <c r="I4" s="4"/>
      <c r="J4" s="4"/>
      <c r="K4" s="4"/>
      <c r="L4" s="4" t="s">
        <v>720</v>
      </c>
      <c r="V4" s="4">
        <v>1.0</v>
      </c>
    </row>
    <row r="5">
      <c r="A5" s="3" t="s">
        <v>721</v>
      </c>
      <c r="B5" s="4" t="s">
        <v>13</v>
      </c>
      <c r="C5" s="4" t="s">
        <v>33</v>
      </c>
      <c r="D5" s="4" t="s">
        <v>722</v>
      </c>
      <c r="E5" s="4" t="s">
        <v>723</v>
      </c>
      <c r="F5" s="3" t="s">
        <v>724</v>
      </c>
      <c r="G5" s="3" t="s">
        <v>725</v>
      </c>
      <c r="H5" s="3"/>
      <c r="I5" s="4"/>
      <c r="J5" s="4"/>
      <c r="K5" s="4"/>
      <c r="L5" s="4" t="s">
        <v>726</v>
      </c>
      <c r="V5" s="4">
        <v>1.0</v>
      </c>
    </row>
    <row r="6">
      <c r="A6" s="3" t="s">
        <v>727</v>
      </c>
      <c r="B6" s="4" t="s">
        <v>13</v>
      </c>
      <c r="C6" s="4" t="s">
        <v>41</v>
      </c>
      <c r="D6" s="4" t="s">
        <v>15</v>
      </c>
      <c r="E6" s="4" t="s">
        <v>728</v>
      </c>
      <c r="F6" s="3" t="s">
        <v>729</v>
      </c>
      <c r="G6" s="3" t="s">
        <v>725</v>
      </c>
      <c r="H6" s="3"/>
      <c r="I6" s="4"/>
      <c r="J6" s="4"/>
      <c r="K6" s="4"/>
      <c r="L6" s="4" t="s">
        <v>730</v>
      </c>
      <c r="V6" s="4">
        <v>1.0</v>
      </c>
    </row>
    <row r="7">
      <c r="A7" s="3" t="s">
        <v>731</v>
      </c>
      <c r="B7" s="4" t="s">
        <v>13</v>
      </c>
      <c r="C7" s="4" t="s">
        <v>46</v>
      </c>
      <c r="D7" s="4" t="s">
        <v>218</v>
      </c>
      <c r="E7" s="4" t="s">
        <v>732</v>
      </c>
      <c r="F7" s="3" t="s">
        <v>733</v>
      </c>
      <c r="G7" s="3" t="s">
        <v>725</v>
      </c>
      <c r="H7" s="3"/>
      <c r="I7" s="4"/>
      <c r="J7" s="4"/>
      <c r="K7" s="4"/>
      <c r="L7" s="4" t="s">
        <v>734</v>
      </c>
      <c r="V7" s="4">
        <v>1.0</v>
      </c>
    </row>
    <row r="8">
      <c r="A8" s="3" t="s">
        <v>735</v>
      </c>
      <c r="B8" s="4" t="s">
        <v>13</v>
      </c>
      <c r="C8" s="4" t="s">
        <v>51</v>
      </c>
      <c r="D8" s="4" t="s">
        <v>736</v>
      </c>
      <c r="E8" s="4" t="s">
        <v>737</v>
      </c>
      <c r="F8" s="3" t="s">
        <v>714</v>
      </c>
      <c r="G8" s="3" t="s">
        <v>725</v>
      </c>
      <c r="H8" s="3"/>
      <c r="I8" s="7"/>
      <c r="J8" s="7"/>
      <c r="K8" s="7"/>
      <c r="L8" s="7" t="s">
        <v>738</v>
      </c>
      <c r="V8" s="4">
        <v>1.0</v>
      </c>
    </row>
    <row r="9">
      <c r="A9" s="3" t="s">
        <v>739</v>
      </c>
      <c r="B9" s="4" t="s">
        <v>13</v>
      </c>
      <c r="C9" s="4" t="s">
        <v>58</v>
      </c>
      <c r="D9" s="4" t="s">
        <v>740</v>
      </c>
      <c r="E9" s="4" t="s">
        <v>312</v>
      </c>
      <c r="F9" s="3" t="s">
        <v>741</v>
      </c>
      <c r="G9" s="3" t="s">
        <v>725</v>
      </c>
      <c r="H9" s="3"/>
      <c r="I9" s="4"/>
      <c r="J9" s="4"/>
      <c r="K9" s="4" t="s">
        <v>742</v>
      </c>
      <c r="L9" s="4" t="s">
        <v>743</v>
      </c>
      <c r="V9" s="4">
        <v>1.0</v>
      </c>
    </row>
    <row r="10">
      <c r="A10" s="3" t="s">
        <v>744</v>
      </c>
      <c r="B10" s="4" t="s">
        <v>13</v>
      </c>
      <c r="C10" s="4" t="s">
        <v>63</v>
      </c>
      <c r="D10" s="4" t="s">
        <v>745</v>
      </c>
      <c r="E10" s="4" t="s">
        <v>746</v>
      </c>
      <c r="F10" s="3" t="s">
        <v>741</v>
      </c>
      <c r="G10" s="3" t="s">
        <v>747</v>
      </c>
      <c r="H10" s="3"/>
      <c r="I10" s="4"/>
      <c r="J10" s="4"/>
      <c r="K10" s="4"/>
      <c r="L10" s="4" t="s">
        <v>748</v>
      </c>
      <c r="V10" s="4">
        <v>1.0</v>
      </c>
    </row>
    <row r="11">
      <c r="A11" s="3" t="s">
        <v>749</v>
      </c>
      <c r="B11" s="4" t="s">
        <v>13</v>
      </c>
      <c r="C11" s="4" t="s">
        <v>66</v>
      </c>
      <c r="D11" s="4" t="s">
        <v>750</v>
      </c>
      <c r="E11" s="4" t="s">
        <v>751</v>
      </c>
      <c r="F11" s="3" t="s">
        <v>752</v>
      </c>
      <c r="G11" s="3" t="s">
        <v>753</v>
      </c>
      <c r="H11" s="3"/>
      <c r="I11" s="14"/>
      <c r="J11" s="14"/>
      <c r="K11" s="15"/>
      <c r="L11" s="15" t="s">
        <v>754</v>
      </c>
      <c r="V11" s="4">
        <v>1.0</v>
      </c>
    </row>
    <row r="12">
      <c r="A12" s="3" t="s">
        <v>755</v>
      </c>
      <c r="B12" s="4" t="s">
        <v>13</v>
      </c>
      <c r="C12" s="4" t="s">
        <v>70</v>
      </c>
      <c r="D12" s="4" t="s">
        <v>756</v>
      </c>
      <c r="E12" s="4" t="s">
        <v>757</v>
      </c>
      <c r="F12" s="3" t="s">
        <v>758</v>
      </c>
      <c r="G12" s="3" t="s">
        <v>753</v>
      </c>
      <c r="H12" s="3"/>
      <c r="I12" s="16"/>
      <c r="J12" s="16"/>
      <c r="K12" s="17"/>
      <c r="L12" s="17" t="s">
        <v>759</v>
      </c>
      <c r="V12" s="4">
        <v>1.0</v>
      </c>
    </row>
    <row r="13">
      <c r="A13" s="3" t="s">
        <v>760</v>
      </c>
      <c r="B13" s="4" t="s">
        <v>13</v>
      </c>
      <c r="C13" s="4" t="s">
        <v>73</v>
      </c>
      <c r="D13" s="4" t="s">
        <v>761</v>
      </c>
      <c r="E13" s="4" t="s">
        <v>762</v>
      </c>
      <c r="F13" s="3" t="s">
        <v>763</v>
      </c>
      <c r="G13" s="3" t="s">
        <v>764</v>
      </c>
      <c r="H13" s="3"/>
      <c r="I13" s="4" t="s">
        <v>19</v>
      </c>
      <c r="J13" s="4"/>
      <c r="K13" s="4"/>
      <c r="L13" s="4" t="s">
        <v>765</v>
      </c>
      <c r="V13" s="4">
        <v>1.0</v>
      </c>
    </row>
    <row r="14">
      <c r="A14" s="3" t="s">
        <v>766</v>
      </c>
      <c r="B14" s="4" t="s">
        <v>13</v>
      </c>
      <c r="C14" s="4" t="s">
        <v>77</v>
      </c>
      <c r="D14" s="4" t="s">
        <v>767</v>
      </c>
      <c r="E14" s="4" t="s">
        <v>768</v>
      </c>
      <c r="F14" s="3" t="s">
        <v>769</v>
      </c>
      <c r="G14" s="3" t="s">
        <v>710</v>
      </c>
      <c r="H14" s="3"/>
      <c r="I14" s="4"/>
      <c r="J14" s="4"/>
      <c r="K14" s="2" t="s">
        <v>770</v>
      </c>
      <c r="L14" s="4" t="s">
        <v>771</v>
      </c>
      <c r="V14" s="4">
        <v>1.0</v>
      </c>
    </row>
    <row r="15">
      <c r="A15" s="3" t="s">
        <v>772</v>
      </c>
      <c r="B15" s="4" t="s">
        <v>13</v>
      </c>
      <c r="C15" s="4" t="s">
        <v>82</v>
      </c>
      <c r="D15" s="4" t="s">
        <v>773</v>
      </c>
      <c r="E15" s="4" t="s">
        <v>30</v>
      </c>
      <c r="F15" s="3" t="s">
        <v>758</v>
      </c>
      <c r="G15" s="3" t="s">
        <v>774</v>
      </c>
      <c r="H15" s="3"/>
      <c r="I15" s="4"/>
      <c r="J15" s="4"/>
      <c r="K15" s="4"/>
      <c r="L15" s="4" t="s">
        <v>775</v>
      </c>
      <c r="V15" s="4">
        <v>1.0</v>
      </c>
    </row>
    <row r="16">
      <c r="A16" s="3" t="s">
        <v>776</v>
      </c>
      <c r="B16" s="4" t="s">
        <v>13</v>
      </c>
      <c r="C16" s="4" t="s">
        <v>85</v>
      </c>
      <c r="D16" s="4" t="s">
        <v>777</v>
      </c>
      <c r="E16" s="4" t="s">
        <v>778</v>
      </c>
      <c r="F16" s="3" t="s">
        <v>719</v>
      </c>
      <c r="G16" s="3" t="s">
        <v>764</v>
      </c>
      <c r="H16" s="3"/>
      <c r="I16" s="4"/>
      <c r="J16" s="4"/>
      <c r="K16" s="4"/>
      <c r="L16" s="4" t="s">
        <v>779</v>
      </c>
      <c r="V16" s="4">
        <v>1.0</v>
      </c>
    </row>
    <row r="17">
      <c r="A17" s="3" t="s">
        <v>780</v>
      </c>
      <c r="B17" s="4" t="s">
        <v>13</v>
      </c>
      <c r="C17" s="4" t="s">
        <v>90</v>
      </c>
      <c r="D17" s="4" t="s">
        <v>745</v>
      </c>
      <c r="E17" s="4" t="s">
        <v>746</v>
      </c>
      <c r="F17" s="3" t="s">
        <v>781</v>
      </c>
      <c r="G17" s="3" t="s">
        <v>166</v>
      </c>
      <c r="H17" s="3"/>
      <c r="I17" s="2" t="s">
        <v>782</v>
      </c>
      <c r="J17" s="2"/>
      <c r="K17" s="4"/>
      <c r="L17" s="4" t="s">
        <v>783</v>
      </c>
      <c r="V17" s="4">
        <v>1.0</v>
      </c>
      <c r="Z17" s="4" t="s">
        <v>784</v>
      </c>
    </row>
    <row r="18">
      <c r="A18" s="3" t="s">
        <v>785</v>
      </c>
      <c r="B18" s="4" t="s">
        <v>13</v>
      </c>
      <c r="C18" s="4" t="s">
        <v>93</v>
      </c>
      <c r="D18" s="4" t="s">
        <v>745</v>
      </c>
      <c r="E18" s="4" t="s">
        <v>746</v>
      </c>
      <c r="F18" s="3" t="s">
        <v>781</v>
      </c>
      <c r="G18" s="3" t="s">
        <v>166</v>
      </c>
      <c r="H18" s="3"/>
      <c r="I18" s="4" t="s">
        <v>786</v>
      </c>
      <c r="J18" s="4"/>
      <c r="K18" s="4"/>
      <c r="L18" s="4" t="s">
        <v>787</v>
      </c>
      <c r="V18" s="4">
        <v>1.0</v>
      </c>
    </row>
    <row r="19">
      <c r="A19" s="3" t="s">
        <v>788</v>
      </c>
      <c r="B19" s="4" t="s">
        <v>13</v>
      </c>
      <c r="C19" s="4" t="s">
        <v>98</v>
      </c>
      <c r="D19" s="4" t="s">
        <v>745</v>
      </c>
      <c r="E19" s="4" t="s">
        <v>746</v>
      </c>
      <c r="F19" s="3" t="s">
        <v>789</v>
      </c>
      <c r="G19" s="3" t="s">
        <v>725</v>
      </c>
      <c r="H19" s="3"/>
      <c r="I19" s="4" t="s">
        <v>786</v>
      </c>
      <c r="J19" s="4"/>
      <c r="K19" s="4"/>
      <c r="L19" s="4" t="s">
        <v>790</v>
      </c>
      <c r="V19" s="4">
        <v>1.0</v>
      </c>
    </row>
    <row r="20">
      <c r="A20" s="11"/>
      <c r="B20" s="4" t="s">
        <v>13</v>
      </c>
      <c r="C20" s="4" t="s">
        <v>103</v>
      </c>
      <c r="D20" s="4" t="s">
        <v>791</v>
      </c>
      <c r="E20" s="4" t="s">
        <v>792</v>
      </c>
      <c r="F20" s="3" t="s">
        <v>719</v>
      </c>
      <c r="G20" s="3" t="s">
        <v>725</v>
      </c>
      <c r="H20" s="3"/>
      <c r="I20" s="2" t="s">
        <v>793</v>
      </c>
      <c r="J20" s="2"/>
      <c r="K20" s="4"/>
      <c r="L20" s="4" t="s">
        <v>794</v>
      </c>
      <c r="V20" s="4">
        <v>1.0</v>
      </c>
      <c r="Z20" s="18" t="s">
        <v>784</v>
      </c>
    </row>
    <row r="21">
      <c r="A21" s="3" t="s">
        <v>795</v>
      </c>
      <c r="B21" s="4" t="s">
        <v>13</v>
      </c>
      <c r="C21" s="4" t="s">
        <v>106</v>
      </c>
      <c r="D21" s="4" t="s">
        <v>791</v>
      </c>
      <c r="E21" s="4" t="s">
        <v>792</v>
      </c>
      <c r="F21" s="3" t="s">
        <v>719</v>
      </c>
      <c r="G21" s="3" t="s">
        <v>725</v>
      </c>
      <c r="H21" s="3"/>
      <c r="I21" s="2" t="s">
        <v>796</v>
      </c>
      <c r="J21" s="2"/>
      <c r="K21" s="4"/>
      <c r="L21" s="4" t="s">
        <v>797</v>
      </c>
      <c r="V21" s="4">
        <v>1.0</v>
      </c>
      <c r="Z21" s="18" t="s">
        <v>784</v>
      </c>
    </row>
    <row r="22">
      <c r="A22" s="3" t="s">
        <v>798</v>
      </c>
      <c r="B22" s="4" t="s">
        <v>13</v>
      </c>
      <c r="C22" s="4" t="s">
        <v>110</v>
      </c>
      <c r="D22" s="4" t="s">
        <v>791</v>
      </c>
      <c r="E22" s="4" t="s">
        <v>792</v>
      </c>
      <c r="F22" s="3" t="s">
        <v>741</v>
      </c>
      <c r="G22" s="3" t="s">
        <v>166</v>
      </c>
      <c r="H22" s="3"/>
      <c r="I22" s="2" t="s">
        <v>799</v>
      </c>
      <c r="J22" s="2"/>
      <c r="K22" s="4"/>
      <c r="L22" s="4" t="s">
        <v>800</v>
      </c>
      <c r="V22" s="4">
        <v>1.0</v>
      </c>
      <c r="Z22" s="18" t="s">
        <v>784</v>
      </c>
    </row>
    <row r="23">
      <c r="A23" s="3" t="s">
        <v>801</v>
      </c>
      <c r="B23" s="4" t="s">
        <v>13</v>
      </c>
      <c r="C23" s="4" t="s">
        <v>113</v>
      </c>
      <c r="D23" s="4" t="s">
        <v>802</v>
      </c>
      <c r="E23" s="4" t="s">
        <v>803</v>
      </c>
      <c r="F23" s="3" t="s">
        <v>804</v>
      </c>
      <c r="G23" s="3" t="s">
        <v>725</v>
      </c>
      <c r="H23" s="3"/>
      <c r="I23" s="2" t="s">
        <v>782</v>
      </c>
      <c r="J23" s="2"/>
      <c r="K23" s="4"/>
      <c r="L23" s="4" t="s">
        <v>805</v>
      </c>
      <c r="V23" s="4">
        <v>1.0</v>
      </c>
      <c r="Z23" s="4" t="s">
        <v>806</v>
      </c>
    </row>
    <row r="24">
      <c r="A24" s="3" t="s">
        <v>807</v>
      </c>
      <c r="B24" s="4" t="s">
        <v>13</v>
      </c>
      <c r="C24" s="4" t="s">
        <v>117</v>
      </c>
      <c r="D24" s="4" t="s">
        <v>802</v>
      </c>
      <c r="E24" s="4" t="s">
        <v>803</v>
      </c>
      <c r="F24" s="3" t="s">
        <v>804</v>
      </c>
      <c r="G24" s="3" t="s">
        <v>725</v>
      </c>
      <c r="H24" s="3"/>
      <c r="I24" s="2" t="s">
        <v>793</v>
      </c>
      <c r="J24" s="2"/>
      <c r="K24" s="4"/>
      <c r="L24" s="4" t="s">
        <v>808</v>
      </c>
      <c r="V24" s="4">
        <v>1.0</v>
      </c>
      <c r="Z24" s="4" t="s">
        <v>806</v>
      </c>
    </row>
    <row r="25">
      <c r="A25" s="3" t="s">
        <v>809</v>
      </c>
      <c r="B25" s="4" t="s">
        <v>13</v>
      </c>
      <c r="C25" s="4" t="s">
        <v>120</v>
      </c>
      <c r="D25" s="4" t="s">
        <v>802</v>
      </c>
      <c r="E25" s="4" t="s">
        <v>803</v>
      </c>
      <c r="F25" s="3" t="s">
        <v>804</v>
      </c>
      <c r="G25" s="3" t="s">
        <v>810</v>
      </c>
      <c r="H25" s="3"/>
      <c r="I25" s="4" t="s">
        <v>786</v>
      </c>
      <c r="J25" s="4"/>
      <c r="K25" s="4"/>
      <c r="L25" s="4" t="s">
        <v>811</v>
      </c>
      <c r="V25" s="4">
        <v>1.0</v>
      </c>
    </row>
    <row r="26">
      <c r="A26" s="11"/>
      <c r="B26" s="4" t="s">
        <v>13</v>
      </c>
      <c r="C26" s="4" t="s">
        <v>125</v>
      </c>
      <c r="D26" s="4" t="s">
        <v>802</v>
      </c>
      <c r="E26" s="4" t="s">
        <v>803</v>
      </c>
      <c r="F26" s="3" t="s">
        <v>812</v>
      </c>
      <c r="G26" s="3" t="s">
        <v>810</v>
      </c>
      <c r="H26" s="3"/>
      <c r="I26" s="4" t="s">
        <v>786</v>
      </c>
      <c r="J26" s="4"/>
      <c r="K26" s="4"/>
      <c r="L26" s="4" t="s">
        <v>813</v>
      </c>
      <c r="V26" s="4">
        <v>1.0</v>
      </c>
    </row>
    <row r="27">
      <c r="A27" s="3" t="s">
        <v>814</v>
      </c>
      <c r="B27" s="4" t="s">
        <v>13</v>
      </c>
      <c r="C27" s="4" t="s">
        <v>129</v>
      </c>
      <c r="D27" s="4" t="s">
        <v>802</v>
      </c>
      <c r="E27" s="4" t="s">
        <v>803</v>
      </c>
      <c r="F27" s="3" t="s">
        <v>815</v>
      </c>
      <c r="G27" s="3" t="s">
        <v>810</v>
      </c>
      <c r="H27" s="3"/>
      <c r="I27" s="2" t="s">
        <v>796</v>
      </c>
      <c r="J27" s="2"/>
      <c r="K27" s="4"/>
      <c r="L27" s="4" t="s">
        <v>816</v>
      </c>
      <c r="V27" s="4">
        <v>2.0</v>
      </c>
      <c r="Z27" s="4" t="s">
        <v>806</v>
      </c>
    </row>
    <row r="28">
      <c r="A28" s="3" t="s">
        <v>817</v>
      </c>
      <c r="B28" s="4" t="s">
        <v>13</v>
      </c>
      <c r="C28" s="4" t="s">
        <v>133</v>
      </c>
      <c r="D28" s="4" t="s">
        <v>802</v>
      </c>
      <c r="E28" s="4" t="s">
        <v>803</v>
      </c>
      <c r="F28" s="3" t="s">
        <v>781</v>
      </c>
      <c r="G28" s="3" t="s">
        <v>747</v>
      </c>
      <c r="H28" s="3"/>
      <c r="I28" s="2" t="s">
        <v>799</v>
      </c>
      <c r="J28" s="2"/>
      <c r="K28" s="4"/>
      <c r="L28" s="4" t="s">
        <v>818</v>
      </c>
      <c r="V28" s="4">
        <v>2.0</v>
      </c>
      <c r="Z28" s="4" t="s">
        <v>806</v>
      </c>
    </row>
    <row r="29">
      <c r="A29" s="3" t="s">
        <v>819</v>
      </c>
      <c r="B29" s="4" t="s">
        <v>13</v>
      </c>
      <c r="C29" s="4" t="s">
        <v>137</v>
      </c>
      <c r="D29" s="4" t="s">
        <v>740</v>
      </c>
      <c r="E29" s="4" t="s">
        <v>312</v>
      </c>
      <c r="F29" s="3" t="s">
        <v>804</v>
      </c>
      <c r="G29" s="3" t="s">
        <v>810</v>
      </c>
      <c r="H29" s="3"/>
      <c r="I29" s="2" t="s">
        <v>782</v>
      </c>
      <c r="J29" s="2"/>
      <c r="K29" s="4"/>
      <c r="L29" s="4" t="s">
        <v>820</v>
      </c>
      <c r="V29" s="4">
        <v>2.0</v>
      </c>
      <c r="Z29" s="4" t="s">
        <v>821</v>
      </c>
    </row>
    <row r="30">
      <c r="A30" s="3" t="s">
        <v>822</v>
      </c>
      <c r="B30" s="4" t="s">
        <v>13</v>
      </c>
      <c r="C30" s="4" t="s">
        <v>140</v>
      </c>
      <c r="D30" s="4" t="s">
        <v>740</v>
      </c>
      <c r="E30" s="4" t="s">
        <v>312</v>
      </c>
      <c r="F30" s="3" t="s">
        <v>724</v>
      </c>
      <c r="G30" s="3" t="s">
        <v>747</v>
      </c>
      <c r="H30" s="3"/>
      <c r="I30" s="2" t="s">
        <v>793</v>
      </c>
      <c r="J30" s="2"/>
      <c r="K30" s="4"/>
      <c r="L30" s="4" t="s">
        <v>823</v>
      </c>
      <c r="V30" s="4">
        <v>2.0</v>
      </c>
      <c r="Z30" s="4" t="s">
        <v>821</v>
      </c>
    </row>
    <row r="31">
      <c r="A31" s="3" t="s">
        <v>824</v>
      </c>
      <c r="B31" s="4" t="s">
        <v>13</v>
      </c>
      <c r="C31" s="4" t="s">
        <v>146</v>
      </c>
      <c r="D31" s="4" t="s">
        <v>740</v>
      </c>
      <c r="E31" s="4" t="s">
        <v>312</v>
      </c>
      <c r="F31" s="3" t="s">
        <v>825</v>
      </c>
      <c r="G31" s="3" t="s">
        <v>753</v>
      </c>
      <c r="H31" s="3"/>
      <c r="I31" s="2" t="s">
        <v>796</v>
      </c>
      <c r="J31" s="2"/>
      <c r="K31" s="4"/>
      <c r="L31" s="4" t="s">
        <v>826</v>
      </c>
      <c r="V31" s="4">
        <v>2.0</v>
      </c>
      <c r="Z31" s="4" t="s">
        <v>821</v>
      </c>
    </row>
    <row r="32">
      <c r="A32" s="3" t="s">
        <v>827</v>
      </c>
      <c r="B32" s="4" t="s">
        <v>13</v>
      </c>
      <c r="C32" s="4" t="s">
        <v>150</v>
      </c>
      <c r="D32" s="4" t="s">
        <v>740</v>
      </c>
      <c r="E32" s="4" t="s">
        <v>312</v>
      </c>
      <c r="F32" s="3" t="s">
        <v>804</v>
      </c>
      <c r="G32" s="3" t="s">
        <v>753</v>
      </c>
      <c r="H32" s="3"/>
      <c r="I32" s="2" t="s">
        <v>799</v>
      </c>
      <c r="J32" s="2"/>
      <c r="K32" s="4"/>
      <c r="L32" s="4" t="s">
        <v>828</v>
      </c>
      <c r="V32" s="4">
        <v>2.0</v>
      </c>
      <c r="Z32" s="4" t="s">
        <v>821</v>
      </c>
    </row>
    <row r="33">
      <c r="A33" s="3" t="s">
        <v>829</v>
      </c>
      <c r="B33" s="4" t="s">
        <v>13</v>
      </c>
      <c r="C33" s="4" t="s">
        <v>154</v>
      </c>
      <c r="D33" s="4" t="s">
        <v>830</v>
      </c>
      <c r="E33" s="4" t="s">
        <v>831</v>
      </c>
      <c r="F33" s="3" t="s">
        <v>832</v>
      </c>
      <c r="G33" s="3" t="s">
        <v>753</v>
      </c>
      <c r="H33" s="3"/>
      <c r="I33" s="4" t="s">
        <v>19</v>
      </c>
      <c r="J33" s="4"/>
      <c r="K33" s="4"/>
      <c r="L33" s="4" t="s">
        <v>833</v>
      </c>
      <c r="V33" s="4">
        <v>2.0</v>
      </c>
      <c r="Z33" s="4" t="s">
        <v>834</v>
      </c>
    </row>
    <row r="34">
      <c r="A34" s="3" t="s">
        <v>835</v>
      </c>
      <c r="B34" s="4" t="s">
        <v>13</v>
      </c>
      <c r="C34" s="4" t="s">
        <v>159</v>
      </c>
      <c r="D34" s="4" t="s">
        <v>836</v>
      </c>
      <c r="E34" s="4" t="s">
        <v>837</v>
      </c>
      <c r="F34" s="3" t="s">
        <v>714</v>
      </c>
      <c r="G34" s="3" t="s">
        <v>838</v>
      </c>
      <c r="H34" s="3"/>
      <c r="I34" s="4" t="s">
        <v>19</v>
      </c>
      <c r="J34" s="4"/>
      <c r="K34" s="4"/>
      <c r="L34" s="4" t="s">
        <v>839</v>
      </c>
      <c r="V34" s="4">
        <v>2.0</v>
      </c>
      <c r="Z34" s="4" t="s">
        <v>834</v>
      </c>
    </row>
    <row r="35">
      <c r="A35" s="3" t="s">
        <v>840</v>
      </c>
      <c r="B35" s="4" t="s">
        <v>13</v>
      </c>
      <c r="C35" s="4" t="s">
        <v>163</v>
      </c>
      <c r="D35" s="4" t="s">
        <v>841</v>
      </c>
      <c r="E35" s="4" t="s">
        <v>219</v>
      </c>
      <c r="F35" s="3" t="s">
        <v>842</v>
      </c>
      <c r="G35" s="3" t="s">
        <v>838</v>
      </c>
      <c r="H35" s="3"/>
      <c r="I35" s="4" t="s">
        <v>19</v>
      </c>
      <c r="J35" s="4"/>
      <c r="K35" s="2" t="s">
        <v>770</v>
      </c>
      <c r="L35" s="4" t="s">
        <v>843</v>
      </c>
      <c r="V35" s="4">
        <v>2.0</v>
      </c>
      <c r="Z35" s="4" t="s">
        <v>834</v>
      </c>
    </row>
    <row r="36">
      <c r="A36" s="3" t="s">
        <v>844</v>
      </c>
      <c r="B36" s="4" t="s">
        <v>13</v>
      </c>
      <c r="C36" s="4" t="s">
        <v>169</v>
      </c>
      <c r="D36" s="4" t="s">
        <v>845</v>
      </c>
      <c r="E36" s="4" t="s">
        <v>846</v>
      </c>
      <c r="F36" s="3" t="s">
        <v>847</v>
      </c>
      <c r="G36" s="3" t="s">
        <v>838</v>
      </c>
      <c r="H36" s="3"/>
      <c r="I36" s="4" t="s">
        <v>19</v>
      </c>
      <c r="J36" s="4"/>
      <c r="K36" s="4"/>
      <c r="L36" s="4" t="s">
        <v>848</v>
      </c>
      <c r="V36" s="4">
        <v>2.0</v>
      </c>
      <c r="Z36" s="4" t="s">
        <v>834</v>
      </c>
    </row>
    <row r="37">
      <c r="A37" s="3" t="s">
        <v>849</v>
      </c>
      <c r="B37" s="4" t="s">
        <v>13</v>
      </c>
      <c r="C37" s="4" t="s">
        <v>173</v>
      </c>
      <c r="F37" s="11"/>
      <c r="G37" s="11"/>
      <c r="H37" s="11"/>
      <c r="I37" s="4" t="s">
        <v>786</v>
      </c>
      <c r="J37" s="4"/>
      <c r="K37" s="4"/>
      <c r="L37" s="4" t="s">
        <v>850</v>
      </c>
      <c r="V37" s="4">
        <v>2.0</v>
      </c>
    </row>
    <row r="38">
      <c r="A38" s="11"/>
      <c r="B38" s="4" t="s">
        <v>13</v>
      </c>
      <c r="C38" s="4" t="s">
        <v>177</v>
      </c>
      <c r="F38" s="11"/>
      <c r="G38" s="11"/>
      <c r="H38" s="11"/>
      <c r="I38" s="4" t="s">
        <v>786</v>
      </c>
      <c r="J38" s="4"/>
      <c r="K38" s="4"/>
      <c r="L38" s="4" t="s">
        <v>851</v>
      </c>
      <c r="V38" s="4">
        <v>2.0</v>
      </c>
    </row>
    <row r="39">
      <c r="A39" s="3" t="s">
        <v>852</v>
      </c>
      <c r="B39" s="4" t="s">
        <v>13</v>
      </c>
      <c r="C39" s="4" t="s">
        <v>180</v>
      </c>
      <c r="D39" s="4" t="s">
        <v>802</v>
      </c>
      <c r="E39" s="4" t="s">
        <v>803</v>
      </c>
      <c r="F39" s="3" t="s">
        <v>853</v>
      </c>
      <c r="G39" s="3" t="s">
        <v>838</v>
      </c>
      <c r="H39" s="3"/>
      <c r="I39" s="4" t="s">
        <v>854</v>
      </c>
      <c r="J39" s="4"/>
      <c r="K39" s="4"/>
      <c r="L39" s="4" t="s">
        <v>855</v>
      </c>
      <c r="V39" s="4">
        <v>2.0</v>
      </c>
      <c r="Z39" s="4" t="s">
        <v>856</v>
      </c>
    </row>
    <row r="40">
      <c r="A40" s="3" t="s">
        <v>857</v>
      </c>
      <c r="B40" s="4" t="s">
        <v>13</v>
      </c>
      <c r="C40" s="4" t="s">
        <v>183</v>
      </c>
      <c r="D40" s="4" t="s">
        <v>802</v>
      </c>
      <c r="E40" s="4" t="s">
        <v>803</v>
      </c>
      <c r="F40" s="3" t="s">
        <v>804</v>
      </c>
      <c r="G40" s="3" t="s">
        <v>764</v>
      </c>
      <c r="H40" s="3"/>
      <c r="I40" s="4" t="s">
        <v>67</v>
      </c>
      <c r="J40" s="4"/>
      <c r="K40" s="4"/>
      <c r="L40" s="4" t="s">
        <v>858</v>
      </c>
      <c r="V40" s="4">
        <v>2.0</v>
      </c>
      <c r="Z40" s="4" t="s">
        <v>856</v>
      </c>
    </row>
    <row r="41">
      <c r="A41" s="3" t="s">
        <v>859</v>
      </c>
      <c r="B41" s="4" t="s">
        <v>13</v>
      </c>
      <c r="C41" s="4" t="s">
        <v>185</v>
      </c>
      <c r="D41" s="4" t="s">
        <v>745</v>
      </c>
      <c r="E41" s="4" t="s">
        <v>746</v>
      </c>
      <c r="F41" s="3" t="s">
        <v>741</v>
      </c>
      <c r="G41" s="3" t="s">
        <v>838</v>
      </c>
      <c r="H41" s="3"/>
      <c r="I41" s="4" t="s">
        <v>67</v>
      </c>
      <c r="J41" s="4"/>
      <c r="K41" s="4"/>
      <c r="L41" s="4" t="s">
        <v>860</v>
      </c>
      <c r="V41" s="4">
        <v>2.0</v>
      </c>
      <c r="Z41" s="4" t="s">
        <v>856</v>
      </c>
    </row>
    <row r="42">
      <c r="A42" s="3" t="s">
        <v>861</v>
      </c>
      <c r="B42" s="4" t="s">
        <v>13</v>
      </c>
      <c r="C42" s="4" t="s">
        <v>187</v>
      </c>
      <c r="D42" s="4" t="s">
        <v>862</v>
      </c>
      <c r="E42" s="4" t="s">
        <v>863</v>
      </c>
      <c r="F42" s="3" t="s">
        <v>769</v>
      </c>
      <c r="G42" s="3" t="s">
        <v>74</v>
      </c>
      <c r="H42" s="3"/>
      <c r="I42" s="4" t="s">
        <v>67</v>
      </c>
      <c r="J42" s="4"/>
      <c r="K42" s="4"/>
      <c r="L42" s="4" t="s">
        <v>864</v>
      </c>
      <c r="V42" s="4">
        <v>2.0</v>
      </c>
      <c r="Z42" s="4" t="s">
        <v>856</v>
      </c>
    </row>
    <row r="43">
      <c r="A43" s="3" t="s">
        <v>865</v>
      </c>
      <c r="B43" s="4" t="s">
        <v>13</v>
      </c>
      <c r="C43" s="4" t="s">
        <v>189</v>
      </c>
      <c r="D43" s="4" t="s">
        <v>866</v>
      </c>
      <c r="E43" s="4" t="s">
        <v>867</v>
      </c>
      <c r="F43" s="3" t="s">
        <v>868</v>
      </c>
      <c r="G43" s="3" t="s">
        <v>155</v>
      </c>
      <c r="H43" s="3"/>
      <c r="I43" s="4" t="s">
        <v>67</v>
      </c>
      <c r="J43" s="4"/>
      <c r="K43" s="4"/>
      <c r="L43" s="4" t="s">
        <v>869</v>
      </c>
      <c r="V43" s="4">
        <v>2.0</v>
      </c>
      <c r="Z43" s="4" t="s">
        <v>856</v>
      </c>
    </row>
    <row r="44">
      <c r="A44" s="19" t="s">
        <v>870</v>
      </c>
      <c r="B44" s="4" t="s">
        <v>13</v>
      </c>
      <c r="C44" s="4" t="s">
        <v>193</v>
      </c>
      <c r="D44" s="4" t="s">
        <v>871</v>
      </c>
      <c r="E44" s="4" t="s">
        <v>872</v>
      </c>
      <c r="F44" s="3" t="s">
        <v>873</v>
      </c>
      <c r="G44" s="3" t="s">
        <v>36</v>
      </c>
      <c r="H44" s="3"/>
      <c r="I44" s="4" t="s">
        <v>67</v>
      </c>
      <c r="J44" s="4"/>
      <c r="K44" s="4"/>
      <c r="L44" s="4" t="s">
        <v>874</v>
      </c>
      <c r="V44" s="4">
        <v>2.0</v>
      </c>
      <c r="Z44" s="4" t="s">
        <v>856</v>
      </c>
    </row>
    <row r="45">
      <c r="A45" s="3" t="s">
        <v>875</v>
      </c>
      <c r="B45" s="4" t="s">
        <v>13</v>
      </c>
      <c r="C45" s="4" t="s">
        <v>196</v>
      </c>
      <c r="D45" s="4" t="s">
        <v>876</v>
      </c>
      <c r="E45" s="4" t="s">
        <v>877</v>
      </c>
      <c r="F45" s="3" t="s">
        <v>763</v>
      </c>
      <c r="G45" s="3" t="s">
        <v>36</v>
      </c>
      <c r="H45" s="3"/>
      <c r="I45" s="4" t="s">
        <v>19</v>
      </c>
      <c r="J45" s="4"/>
      <c r="K45" s="4"/>
      <c r="L45" s="4" t="s">
        <v>878</v>
      </c>
      <c r="V45" s="4">
        <v>2.0</v>
      </c>
      <c r="Z45" s="4" t="s">
        <v>879</v>
      </c>
    </row>
    <row r="46">
      <c r="A46" s="3" t="s">
        <v>880</v>
      </c>
      <c r="B46" s="4" t="s">
        <v>13</v>
      </c>
      <c r="C46" s="4" t="s">
        <v>199</v>
      </c>
      <c r="D46" s="4" t="s">
        <v>876</v>
      </c>
      <c r="E46" s="4" t="s">
        <v>877</v>
      </c>
      <c r="F46" s="3" t="s">
        <v>769</v>
      </c>
      <c r="G46" s="3" t="s">
        <v>36</v>
      </c>
      <c r="H46" s="3"/>
      <c r="I46" s="4" t="s">
        <v>67</v>
      </c>
      <c r="J46" s="4"/>
      <c r="K46" s="4"/>
      <c r="L46" s="4" t="s">
        <v>881</v>
      </c>
      <c r="V46" s="4">
        <v>2.0</v>
      </c>
      <c r="Z46" s="4" t="s">
        <v>856</v>
      </c>
    </row>
    <row r="47">
      <c r="A47" s="3" t="s">
        <v>882</v>
      </c>
      <c r="B47" s="4" t="s">
        <v>13</v>
      </c>
      <c r="C47" s="4" t="s">
        <v>202</v>
      </c>
      <c r="D47" s="4" t="s">
        <v>883</v>
      </c>
      <c r="E47" s="4" t="s">
        <v>884</v>
      </c>
      <c r="F47" s="3" t="s">
        <v>885</v>
      </c>
      <c r="G47" s="3" t="s">
        <v>36</v>
      </c>
      <c r="H47" s="3"/>
      <c r="I47" s="4" t="s">
        <v>786</v>
      </c>
      <c r="J47" s="4"/>
      <c r="K47" s="4"/>
      <c r="L47" s="4" t="s">
        <v>886</v>
      </c>
      <c r="V47" s="4">
        <v>2.0</v>
      </c>
    </row>
    <row r="48">
      <c r="A48" s="3" t="s">
        <v>887</v>
      </c>
      <c r="B48" s="4" t="s">
        <v>13</v>
      </c>
      <c r="C48" s="4" t="s">
        <v>204</v>
      </c>
      <c r="D48" s="4" t="s">
        <v>876</v>
      </c>
      <c r="E48" s="4" t="s">
        <v>877</v>
      </c>
      <c r="F48" s="3" t="s">
        <v>888</v>
      </c>
      <c r="G48" s="3" t="s">
        <v>36</v>
      </c>
      <c r="H48" s="3"/>
      <c r="I48" s="2" t="s">
        <v>782</v>
      </c>
      <c r="J48" s="2"/>
      <c r="K48" s="4"/>
      <c r="L48" s="4" t="s">
        <v>889</v>
      </c>
      <c r="V48" s="4">
        <v>1.0</v>
      </c>
      <c r="Z48" s="4" t="s">
        <v>890</v>
      </c>
    </row>
    <row r="49">
      <c r="A49" s="3" t="s">
        <v>891</v>
      </c>
      <c r="B49" s="4" t="s">
        <v>13</v>
      </c>
      <c r="C49" s="4" t="s">
        <v>208</v>
      </c>
      <c r="D49" s="4" t="s">
        <v>876</v>
      </c>
      <c r="E49" s="4" t="s">
        <v>877</v>
      </c>
      <c r="F49" s="3" t="s">
        <v>892</v>
      </c>
      <c r="G49" s="3" t="s">
        <v>36</v>
      </c>
      <c r="H49" s="3"/>
      <c r="I49" s="2" t="s">
        <v>793</v>
      </c>
      <c r="J49" s="2"/>
      <c r="K49" s="4"/>
      <c r="L49" s="4" t="s">
        <v>893</v>
      </c>
      <c r="V49" s="4">
        <v>1.0</v>
      </c>
      <c r="Z49" s="4" t="s">
        <v>890</v>
      </c>
    </row>
    <row r="50">
      <c r="A50" s="3" t="s">
        <v>894</v>
      </c>
      <c r="B50" s="4" t="s">
        <v>13</v>
      </c>
      <c r="C50" s="4" t="s">
        <v>210</v>
      </c>
      <c r="D50" s="4" t="s">
        <v>876</v>
      </c>
      <c r="E50" s="4" t="s">
        <v>877</v>
      </c>
      <c r="F50" s="3" t="s">
        <v>895</v>
      </c>
      <c r="G50" s="3" t="s">
        <v>36</v>
      </c>
      <c r="H50" s="3"/>
      <c r="I50" s="2" t="s">
        <v>796</v>
      </c>
      <c r="J50" s="2"/>
      <c r="K50" s="4"/>
      <c r="L50" s="4" t="s">
        <v>896</v>
      </c>
      <c r="V50" s="4">
        <v>1.0</v>
      </c>
      <c r="Z50" s="4" t="s">
        <v>890</v>
      </c>
    </row>
    <row r="51">
      <c r="A51" s="3" t="s">
        <v>897</v>
      </c>
      <c r="B51" s="4" t="s">
        <v>13</v>
      </c>
      <c r="C51" s="4" t="s">
        <v>217</v>
      </c>
      <c r="D51" s="4" t="s">
        <v>876</v>
      </c>
      <c r="E51" s="4" t="s">
        <v>877</v>
      </c>
      <c r="F51" s="3" t="s">
        <v>892</v>
      </c>
      <c r="G51" s="3" t="s">
        <v>506</v>
      </c>
      <c r="H51" s="3"/>
      <c r="I51" s="2" t="s">
        <v>799</v>
      </c>
      <c r="J51" s="2"/>
      <c r="K51" s="4"/>
      <c r="L51" s="4" t="s">
        <v>898</v>
      </c>
      <c r="V51" s="4">
        <v>1.0</v>
      </c>
      <c r="Z51" s="4" t="s">
        <v>890</v>
      </c>
    </row>
    <row r="52">
      <c r="A52" s="3" t="s">
        <v>899</v>
      </c>
      <c r="B52" s="4" t="s">
        <v>246</v>
      </c>
      <c r="C52" s="4" t="s">
        <v>14</v>
      </c>
      <c r="D52" s="4" t="s">
        <v>900</v>
      </c>
      <c r="E52" s="4" t="s">
        <v>338</v>
      </c>
      <c r="F52" s="3" t="s">
        <v>901</v>
      </c>
      <c r="G52" s="3" t="s">
        <v>36</v>
      </c>
      <c r="H52" s="3"/>
      <c r="I52" s="4" t="s">
        <v>67</v>
      </c>
      <c r="J52" s="4"/>
      <c r="K52" s="4"/>
      <c r="L52" s="4" t="s">
        <v>902</v>
      </c>
      <c r="V52" s="4">
        <v>1.0</v>
      </c>
      <c r="Z52" s="4" t="s">
        <v>856</v>
      </c>
    </row>
    <row r="53">
      <c r="A53" s="3" t="s">
        <v>903</v>
      </c>
      <c r="B53" s="4" t="s">
        <v>13</v>
      </c>
      <c r="C53" s="4" t="s">
        <v>222</v>
      </c>
      <c r="D53" s="4" t="s">
        <v>876</v>
      </c>
      <c r="E53" s="4" t="s">
        <v>877</v>
      </c>
      <c r="F53" s="3" t="s">
        <v>763</v>
      </c>
      <c r="G53" s="3" t="s">
        <v>36</v>
      </c>
      <c r="H53" s="3"/>
      <c r="I53" s="4" t="s">
        <v>904</v>
      </c>
      <c r="J53" s="4"/>
      <c r="K53" s="4"/>
      <c r="L53" s="4" t="s">
        <v>905</v>
      </c>
      <c r="V53" s="4">
        <v>1.0</v>
      </c>
      <c r="Z53" s="4" t="s">
        <v>906</v>
      </c>
    </row>
    <row r="54">
      <c r="A54" s="3" t="s">
        <v>907</v>
      </c>
      <c r="B54" s="4" t="s">
        <v>13</v>
      </c>
      <c r="C54" s="4" t="s">
        <v>224</v>
      </c>
      <c r="D54" s="4" t="s">
        <v>876</v>
      </c>
      <c r="E54" s="4" t="s">
        <v>877</v>
      </c>
      <c r="F54" s="3" t="s">
        <v>714</v>
      </c>
      <c r="G54" s="3" t="s">
        <v>506</v>
      </c>
      <c r="H54" s="3"/>
      <c r="I54" s="4" t="s">
        <v>60</v>
      </c>
      <c r="J54" s="4"/>
      <c r="K54" s="4"/>
      <c r="L54" s="4" t="s">
        <v>908</v>
      </c>
      <c r="V54" s="4">
        <v>1.0</v>
      </c>
      <c r="Z54" s="4" t="s">
        <v>906</v>
      </c>
    </row>
    <row r="55">
      <c r="A55" s="1" t="s">
        <v>909</v>
      </c>
      <c r="B55" s="4" t="s">
        <v>13</v>
      </c>
      <c r="C55" s="4" t="s">
        <v>226</v>
      </c>
      <c r="D55" s="4" t="s">
        <v>910</v>
      </c>
      <c r="E55" s="4" t="s">
        <v>911</v>
      </c>
      <c r="F55" s="3" t="s">
        <v>769</v>
      </c>
      <c r="G55" s="3" t="s">
        <v>506</v>
      </c>
      <c r="H55" s="3"/>
      <c r="I55" s="4" t="s">
        <v>60</v>
      </c>
      <c r="J55" s="4"/>
      <c r="K55" s="4"/>
      <c r="L55" s="4" t="s">
        <v>912</v>
      </c>
      <c r="V55" s="4">
        <v>1.0</v>
      </c>
      <c r="Z55" s="4" t="s">
        <v>906</v>
      </c>
    </row>
    <row r="56">
      <c r="A56" s="3" t="s">
        <v>913</v>
      </c>
      <c r="B56" s="4" t="s">
        <v>13</v>
      </c>
      <c r="C56" s="4" t="s">
        <v>231</v>
      </c>
      <c r="D56" s="4" t="s">
        <v>914</v>
      </c>
      <c r="E56" s="4" t="s">
        <v>270</v>
      </c>
      <c r="F56" s="3" t="s">
        <v>769</v>
      </c>
      <c r="G56" s="3" t="s">
        <v>506</v>
      </c>
      <c r="H56" s="3"/>
      <c r="I56" s="4" t="s">
        <v>60</v>
      </c>
      <c r="J56" s="4"/>
      <c r="K56" s="4"/>
      <c r="L56" s="4" t="s">
        <v>915</v>
      </c>
      <c r="V56" s="4">
        <v>1.0</v>
      </c>
      <c r="Z56" s="4" t="s">
        <v>906</v>
      </c>
    </row>
    <row r="57">
      <c r="A57" s="3" t="s">
        <v>916</v>
      </c>
      <c r="B57" s="4" t="s">
        <v>246</v>
      </c>
      <c r="C57" s="4" t="s">
        <v>23</v>
      </c>
      <c r="D57" s="4" t="s">
        <v>917</v>
      </c>
      <c r="E57" s="4" t="s">
        <v>786</v>
      </c>
      <c r="F57" s="3" t="s">
        <v>786</v>
      </c>
      <c r="G57" s="3" t="s">
        <v>36</v>
      </c>
      <c r="H57" s="3"/>
      <c r="I57" s="4" t="s">
        <v>786</v>
      </c>
      <c r="J57" s="4"/>
      <c r="K57" s="4"/>
      <c r="L57" s="4" t="s">
        <v>918</v>
      </c>
      <c r="V57" s="4">
        <v>1.0</v>
      </c>
    </row>
    <row r="58">
      <c r="A58" s="3" t="s">
        <v>919</v>
      </c>
      <c r="B58" s="4" t="s">
        <v>246</v>
      </c>
      <c r="C58" s="4" t="s">
        <v>28</v>
      </c>
      <c r="D58" s="4" t="s">
        <v>920</v>
      </c>
      <c r="E58" s="4" t="s">
        <v>921</v>
      </c>
      <c r="F58" s="3" t="s">
        <v>709</v>
      </c>
      <c r="G58" s="3" t="s">
        <v>36</v>
      </c>
      <c r="H58" s="3"/>
      <c r="I58" s="4" t="s">
        <v>67</v>
      </c>
      <c r="J58" s="4"/>
      <c r="K58" s="4"/>
      <c r="L58" s="4" t="s">
        <v>922</v>
      </c>
      <c r="V58" s="4">
        <v>3.0</v>
      </c>
      <c r="Z58" s="4" t="s">
        <v>856</v>
      </c>
    </row>
    <row r="59">
      <c r="A59" s="3" t="s">
        <v>923</v>
      </c>
      <c r="B59" s="4" t="s">
        <v>246</v>
      </c>
      <c r="C59" s="4" t="s">
        <v>33</v>
      </c>
      <c r="D59" s="4" t="s">
        <v>924</v>
      </c>
      <c r="E59" s="4" t="s">
        <v>925</v>
      </c>
      <c r="F59" s="3" t="s">
        <v>926</v>
      </c>
      <c r="G59" s="3" t="s">
        <v>36</v>
      </c>
      <c r="H59" s="3"/>
      <c r="I59" s="20" t="s">
        <v>67</v>
      </c>
      <c r="J59" s="20"/>
      <c r="K59" s="21"/>
      <c r="L59" s="21" t="s">
        <v>927</v>
      </c>
      <c r="V59" s="4">
        <v>3.0</v>
      </c>
      <c r="Z59" s="4" t="s">
        <v>856</v>
      </c>
    </row>
    <row r="60">
      <c r="A60" s="3" t="s">
        <v>928</v>
      </c>
      <c r="B60" s="4" t="s">
        <v>246</v>
      </c>
      <c r="C60" s="4" t="s">
        <v>41</v>
      </c>
      <c r="D60" s="4" t="s">
        <v>920</v>
      </c>
      <c r="E60" s="4" t="s">
        <v>921</v>
      </c>
      <c r="F60" s="3" t="s">
        <v>842</v>
      </c>
      <c r="G60" s="3" t="s">
        <v>36</v>
      </c>
      <c r="H60" s="3"/>
      <c r="I60" s="4" t="s">
        <v>60</v>
      </c>
      <c r="J60" s="4"/>
      <c r="K60" s="4"/>
      <c r="L60" s="4" t="s">
        <v>929</v>
      </c>
      <c r="V60" s="4">
        <v>3.0</v>
      </c>
      <c r="Z60" s="4" t="s">
        <v>906</v>
      </c>
    </row>
    <row r="61">
      <c r="A61" s="3" t="s">
        <v>930</v>
      </c>
      <c r="B61" s="4" t="s">
        <v>246</v>
      </c>
      <c r="C61" s="4" t="s">
        <v>46</v>
      </c>
      <c r="D61" s="4" t="s">
        <v>931</v>
      </c>
      <c r="E61" s="4" t="s">
        <v>338</v>
      </c>
      <c r="F61" s="3" t="s">
        <v>769</v>
      </c>
      <c r="G61" s="3" t="s">
        <v>36</v>
      </c>
      <c r="H61" s="3"/>
      <c r="I61" s="20" t="s">
        <v>60</v>
      </c>
      <c r="J61" s="20"/>
      <c r="K61" s="20"/>
      <c r="L61" s="20" t="s">
        <v>932</v>
      </c>
      <c r="V61" s="4">
        <v>3.0</v>
      </c>
      <c r="Z61" s="4" t="s">
        <v>906</v>
      </c>
    </row>
    <row r="62">
      <c r="A62" s="3" t="s">
        <v>933</v>
      </c>
      <c r="B62" s="4" t="s">
        <v>246</v>
      </c>
      <c r="C62" s="4" t="s">
        <v>51</v>
      </c>
      <c r="D62" s="4" t="s">
        <v>924</v>
      </c>
      <c r="E62" s="4" t="s">
        <v>925</v>
      </c>
      <c r="F62" s="3" t="s">
        <v>758</v>
      </c>
      <c r="G62" s="3" t="s">
        <v>36</v>
      </c>
      <c r="H62" s="3"/>
      <c r="I62" s="4" t="s">
        <v>60</v>
      </c>
      <c r="J62" s="4"/>
      <c r="K62" s="4"/>
      <c r="L62" s="4" t="s">
        <v>934</v>
      </c>
      <c r="V62" s="4">
        <v>3.0</v>
      </c>
      <c r="Z62" s="4" t="s">
        <v>906</v>
      </c>
    </row>
    <row r="63">
      <c r="A63" s="1" t="s">
        <v>935</v>
      </c>
      <c r="B63" s="4" t="s">
        <v>246</v>
      </c>
      <c r="C63" s="4" t="s">
        <v>58</v>
      </c>
      <c r="D63" s="4" t="s">
        <v>924</v>
      </c>
      <c r="E63" s="4" t="s">
        <v>925</v>
      </c>
      <c r="F63" s="3" t="s">
        <v>892</v>
      </c>
      <c r="G63" s="3" t="s">
        <v>36</v>
      </c>
      <c r="H63" s="3"/>
      <c r="I63" s="4" t="s">
        <v>19</v>
      </c>
      <c r="J63" s="4"/>
      <c r="K63" s="4"/>
      <c r="L63" s="4" t="s">
        <v>936</v>
      </c>
      <c r="V63" s="4">
        <v>3.0</v>
      </c>
      <c r="Z63" s="4" t="s">
        <v>834</v>
      </c>
    </row>
    <row r="64">
      <c r="A64" s="3" t="s">
        <v>937</v>
      </c>
      <c r="B64" s="4" t="s">
        <v>246</v>
      </c>
      <c r="C64" s="4" t="s">
        <v>63</v>
      </c>
      <c r="D64" s="4" t="s">
        <v>920</v>
      </c>
      <c r="E64" s="4" t="s">
        <v>921</v>
      </c>
      <c r="F64" s="3" t="s">
        <v>842</v>
      </c>
      <c r="G64" s="3" t="s">
        <v>36</v>
      </c>
      <c r="H64" s="3"/>
      <c r="I64" s="4" t="s">
        <v>19</v>
      </c>
      <c r="J64" s="4"/>
      <c r="K64" s="4"/>
      <c r="L64" s="4" t="s">
        <v>938</v>
      </c>
      <c r="V64" s="4">
        <v>3.0</v>
      </c>
      <c r="Z64" s="4" t="s">
        <v>834</v>
      </c>
    </row>
    <row r="65">
      <c r="A65" s="3" t="s">
        <v>939</v>
      </c>
      <c r="B65" s="4" t="s">
        <v>246</v>
      </c>
      <c r="C65" s="4" t="s">
        <v>66</v>
      </c>
      <c r="D65" s="4" t="s">
        <v>924</v>
      </c>
      <c r="E65" s="4" t="s">
        <v>925</v>
      </c>
      <c r="F65" s="3" t="s">
        <v>940</v>
      </c>
      <c r="G65" s="3" t="s">
        <v>36</v>
      </c>
      <c r="H65" s="3"/>
      <c r="I65" s="2" t="s">
        <v>782</v>
      </c>
      <c r="J65" s="2"/>
      <c r="K65" s="4"/>
      <c r="L65" s="4" t="s">
        <v>941</v>
      </c>
      <c r="V65" s="4">
        <v>3.0</v>
      </c>
      <c r="Z65" s="4" t="s">
        <v>942</v>
      </c>
    </row>
    <row r="66">
      <c r="A66" s="3" t="s">
        <v>943</v>
      </c>
      <c r="B66" s="4" t="s">
        <v>246</v>
      </c>
      <c r="C66" s="4" t="s">
        <v>70</v>
      </c>
      <c r="D66" s="4" t="s">
        <v>924</v>
      </c>
      <c r="E66" s="4" t="s">
        <v>925</v>
      </c>
      <c r="F66" s="3" t="s">
        <v>944</v>
      </c>
      <c r="G66" s="3" t="s">
        <v>36</v>
      </c>
      <c r="H66" s="3"/>
      <c r="I66" s="2" t="s">
        <v>793</v>
      </c>
      <c r="J66" s="2"/>
      <c r="K66" s="2"/>
      <c r="L66" s="2" t="s">
        <v>945</v>
      </c>
      <c r="V66" s="4">
        <v>3.0</v>
      </c>
      <c r="Z66" s="4" t="s">
        <v>942</v>
      </c>
    </row>
    <row r="67">
      <c r="A67" s="3" t="s">
        <v>946</v>
      </c>
      <c r="B67" s="4" t="s">
        <v>246</v>
      </c>
      <c r="C67" s="4" t="s">
        <v>73</v>
      </c>
      <c r="D67" s="4" t="s">
        <v>924</v>
      </c>
      <c r="E67" s="4" t="s">
        <v>925</v>
      </c>
      <c r="F67" s="3" t="s">
        <v>940</v>
      </c>
      <c r="G67" s="3" t="s">
        <v>36</v>
      </c>
      <c r="H67" s="3"/>
      <c r="I67" s="2" t="s">
        <v>796</v>
      </c>
      <c r="J67" s="2"/>
      <c r="K67" s="2"/>
      <c r="L67" s="2" t="s">
        <v>947</v>
      </c>
      <c r="V67" s="4">
        <v>3.0</v>
      </c>
      <c r="Z67" s="4" t="s">
        <v>942</v>
      </c>
    </row>
    <row r="68">
      <c r="A68" s="3" t="s">
        <v>948</v>
      </c>
      <c r="B68" s="4" t="s">
        <v>246</v>
      </c>
      <c r="C68" s="4" t="s">
        <v>77</v>
      </c>
      <c r="D68" s="4" t="s">
        <v>924</v>
      </c>
      <c r="E68" s="4" t="s">
        <v>925</v>
      </c>
      <c r="F68" s="3" t="s">
        <v>940</v>
      </c>
      <c r="G68" s="3" t="s">
        <v>36</v>
      </c>
      <c r="H68" s="3"/>
      <c r="I68" s="22" t="s">
        <v>799</v>
      </c>
      <c r="J68" s="22"/>
      <c r="K68" s="22"/>
      <c r="L68" s="22" t="s">
        <v>949</v>
      </c>
      <c r="V68" s="4">
        <v>3.0</v>
      </c>
      <c r="Z68" s="4" t="s">
        <v>942</v>
      </c>
    </row>
    <row r="69">
      <c r="A69" s="3" t="s">
        <v>950</v>
      </c>
      <c r="B69" s="4" t="s">
        <v>246</v>
      </c>
      <c r="C69" s="4" t="s">
        <v>82</v>
      </c>
      <c r="D69" s="4" t="s">
        <v>900</v>
      </c>
      <c r="E69" s="4" t="s">
        <v>338</v>
      </c>
      <c r="F69" s="3" t="s">
        <v>769</v>
      </c>
      <c r="G69" s="3" t="s">
        <v>36</v>
      </c>
      <c r="H69" s="3"/>
      <c r="I69" s="4" t="s">
        <v>19</v>
      </c>
      <c r="J69" s="4"/>
      <c r="K69" s="4"/>
      <c r="L69" s="4" t="s">
        <v>951</v>
      </c>
      <c r="V69" s="4">
        <v>3.0</v>
      </c>
      <c r="Z69" s="4" t="s">
        <v>834</v>
      </c>
    </row>
    <row r="70">
      <c r="A70" s="3" t="s">
        <v>952</v>
      </c>
      <c r="B70" s="4" t="s">
        <v>246</v>
      </c>
      <c r="C70" s="4" t="s">
        <v>85</v>
      </c>
      <c r="D70" s="4" t="s">
        <v>924</v>
      </c>
      <c r="E70" s="4" t="s">
        <v>925</v>
      </c>
      <c r="F70" s="3" t="s">
        <v>940</v>
      </c>
      <c r="G70" s="3" t="s">
        <v>36</v>
      </c>
      <c r="H70" s="3"/>
      <c r="I70" s="2" t="s">
        <v>953</v>
      </c>
      <c r="J70" s="2"/>
      <c r="K70" s="4"/>
      <c r="L70" s="4" t="s">
        <v>954</v>
      </c>
      <c r="V70" s="4">
        <v>3.0</v>
      </c>
      <c r="Z70" s="4" t="s">
        <v>942</v>
      </c>
    </row>
    <row r="71">
      <c r="A71" s="3" t="s">
        <v>955</v>
      </c>
      <c r="B71" s="4" t="s">
        <v>246</v>
      </c>
      <c r="C71" s="4" t="s">
        <v>90</v>
      </c>
      <c r="D71" s="4" t="s">
        <v>924</v>
      </c>
      <c r="E71" s="4" t="s">
        <v>925</v>
      </c>
      <c r="F71" s="3" t="s">
        <v>944</v>
      </c>
      <c r="G71" s="3" t="s">
        <v>36</v>
      </c>
      <c r="H71" s="3"/>
      <c r="I71" s="4" t="s">
        <v>78</v>
      </c>
      <c r="J71" s="4"/>
      <c r="K71" s="4"/>
      <c r="L71" s="4" t="s">
        <v>956</v>
      </c>
      <c r="V71" s="4">
        <v>3.0</v>
      </c>
      <c r="Z71" s="4" t="s">
        <v>957</v>
      </c>
    </row>
    <row r="72">
      <c r="A72" s="3" t="s">
        <v>958</v>
      </c>
      <c r="B72" s="4" t="s">
        <v>246</v>
      </c>
      <c r="C72" s="4" t="s">
        <v>93</v>
      </c>
      <c r="D72" s="4" t="s">
        <v>924</v>
      </c>
      <c r="E72" s="4" t="s">
        <v>925</v>
      </c>
      <c r="F72" s="3" t="s">
        <v>940</v>
      </c>
      <c r="G72" s="3" t="s">
        <v>36</v>
      </c>
      <c r="H72" s="3"/>
      <c r="I72" s="4" t="s">
        <v>78</v>
      </c>
      <c r="J72" s="4"/>
      <c r="K72" s="4"/>
      <c r="L72" s="4" t="s">
        <v>959</v>
      </c>
      <c r="V72" s="4">
        <v>3.0</v>
      </c>
      <c r="Z72" s="4" t="s">
        <v>957</v>
      </c>
    </row>
    <row r="73">
      <c r="A73" s="3" t="s">
        <v>960</v>
      </c>
      <c r="B73" s="4" t="s">
        <v>246</v>
      </c>
      <c r="C73" s="4" t="s">
        <v>98</v>
      </c>
      <c r="D73" s="4" t="s">
        <v>920</v>
      </c>
      <c r="E73" s="4" t="s">
        <v>921</v>
      </c>
      <c r="F73" s="3" t="s">
        <v>842</v>
      </c>
      <c r="G73" s="3" t="s">
        <v>267</v>
      </c>
      <c r="H73" s="3"/>
      <c r="I73" s="4" t="s">
        <v>78</v>
      </c>
      <c r="J73" s="4"/>
      <c r="K73" s="4"/>
      <c r="L73" s="4" t="s">
        <v>961</v>
      </c>
      <c r="V73" s="4">
        <v>3.0</v>
      </c>
      <c r="Z73" s="4" t="s">
        <v>957</v>
      </c>
    </row>
    <row r="74">
      <c r="A74" s="3" t="s">
        <v>962</v>
      </c>
      <c r="B74" s="4" t="s">
        <v>246</v>
      </c>
      <c r="C74" s="4" t="s">
        <v>103</v>
      </c>
      <c r="D74" s="4" t="s">
        <v>900</v>
      </c>
      <c r="E74" s="4" t="s">
        <v>338</v>
      </c>
      <c r="F74" s="3" t="s">
        <v>769</v>
      </c>
      <c r="G74" s="3" t="s">
        <v>267</v>
      </c>
      <c r="H74" s="3"/>
      <c r="I74" s="4" t="s">
        <v>78</v>
      </c>
      <c r="J74" s="4"/>
      <c r="K74" s="2"/>
      <c r="L74" s="2" t="s">
        <v>963</v>
      </c>
      <c r="V74" s="4">
        <v>3.0</v>
      </c>
      <c r="Z74" s="4" t="s">
        <v>957</v>
      </c>
    </row>
    <row r="75">
      <c r="A75" s="3" t="s">
        <v>964</v>
      </c>
      <c r="B75" s="4" t="s">
        <v>246</v>
      </c>
      <c r="C75" s="4" t="s">
        <v>106</v>
      </c>
      <c r="D75" s="4" t="s">
        <v>900</v>
      </c>
      <c r="E75" s="4" t="s">
        <v>338</v>
      </c>
      <c r="F75" s="3" t="s">
        <v>965</v>
      </c>
      <c r="G75" s="3" t="s">
        <v>966</v>
      </c>
      <c r="H75" s="3"/>
      <c r="I75" s="4" t="s">
        <v>19</v>
      </c>
      <c r="J75" s="4"/>
      <c r="K75" s="2"/>
      <c r="L75" s="2" t="s">
        <v>967</v>
      </c>
      <c r="V75" s="4">
        <v>3.0</v>
      </c>
      <c r="Z75" s="4" t="s">
        <v>834</v>
      </c>
    </row>
    <row r="76">
      <c r="A76" s="3" t="s">
        <v>968</v>
      </c>
      <c r="B76" s="4" t="s">
        <v>246</v>
      </c>
      <c r="C76" s="4" t="s">
        <v>110</v>
      </c>
      <c r="D76" s="4" t="s">
        <v>900</v>
      </c>
      <c r="E76" s="4" t="s">
        <v>338</v>
      </c>
      <c r="F76" s="3" t="s">
        <v>895</v>
      </c>
      <c r="G76" s="3" t="s">
        <v>969</v>
      </c>
      <c r="H76" s="3"/>
      <c r="I76" s="18" t="s">
        <v>19</v>
      </c>
      <c r="J76" s="18"/>
      <c r="K76" s="22" t="s">
        <v>770</v>
      </c>
      <c r="L76" s="22" t="s">
        <v>970</v>
      </c>
      <c r="V76" s="4">
        <v>3.0</v>
      </c>
      <c r="Z76" s="4" t="s">
        <v>834</v>
      </c>
    </row>
    <row r="77">
      <c r="A77" s="3" t="s">
        <v>971</v>
      </c>
      <c r="B77" s="4" t="s">
        <v>246</v>
      </c>
      <c r="C77" s="4" t="s">
        <v>113</v>
      </c>
      <c r="D77" s="4" t="s">
        <v>972</v>
      </c>
      <c r="E77" s="4" t="s">
        <v>973</v>
      </c>
      <c r="F77" s="3" t="s">
        <v>974</v>
      </c>
      <c r="G77" s="3" t="s">
        <v>969</v>
      </c>
      <c r="H77" s="3"/>
      <c r="I77" s="18" t="s">
        <v>19</v>
      </c>
      <c r="J77" s="18"/>
      <c r="K77" s="22"/>
      <c r="L77" s="22" t="s">
        <v>975</v>
      </c>
      <c r="V77" s="4">
        <v>3.0</v>
      </c>
      <c r="W77" s="4" t="s">
        <v>215</v>
      </c>
      <c r="Z77" s="4" t="s">
        <v>834</v>
      </c>
    </row>
    <row r="78">
      <c r="A78" s="3" t="s">
        <v>976</v>
      </c>
      <c r="B78" s="4" t="s">
        <v>246</v>
      </c>
      <c r="C78" s="4" t="s">
        <v>117</v>
      </c>
      <c r="D78" s="4" t="s">
        <v>972</v>
      </c>
      <c r="E78" s="4" t="s">
        <v>973</v>
      </c>
      <c r="F78" s="3" t="s">
        <v>977</v>
      </c>
      <c r="G78" s="3" t="s">
        <v>969</v>
      </c>
      <c r="H78" s="3"/>
      <c r="I78" s="4" t="s">
        <v>19</v>
      </c>
      <c r="J78" s="4"/>
      <c r="K78" s="4"/>
      <c r="L78" s="4" t="s">
        <v>978</v>
      </c>
      <c r="V78" s="4">
        <v>3.0</v>
      </c>
      <c r="Z78" s="4" t="s">
        <v>834</v>
      </c>
    </row>
    <row r="79">
      <c r="A79" s="3" t="s">
        <v>979</v>
      </c>
      <c r="B79" s="4" t="s">
        <v>246</v>
      </c>
      <c r="C79" s="4" t="s">
        <v>120</v>
      </c>
      <c r="D79" s="4" t="s">
        <v>972</v>
      </c>
      <c r="E79" s="4" t="s">
        <v>973</v>
      </c>
      <c r="F79" s="3" t="s">
        <v>714</v>
      </c>
      <c r="G79" s="3" t="s">
        <v>969</v>
      </c>
      <c r="H79" s="3"/>
      <c r="I79" s="20" t="s">
        <v>19</v>
      </c>
      <c r="J79" s="20"/>
      <c r="K79" s="21"/>
      <c r="L79" s="21" t="s">
        <v>980</v>
      </c>
      <c r="V79" s="4">
        <v>3.0</v>
      </c>
      <c r="Z79" s="4" t="s">
        <v>834</v>
      </c>
    </row>
    <row r="80">
      <c r="A80" s="3" t="s">
        <v>981</v>
      </c>
      <c r="B80" s="4" t="s">
        <v>246</v>
      </c>
      <c r="C80" s="4" t="s">
        <v>125</v>
      </c>
      <c r="D80" s="4" t="s">
        <v>924</v>
      </c>
      <c r="E80" s="4" t="s">
        <v>925</v>
      </c>
      <c r="F80" s="3" t="s">
        <v>982</v>
      </c>
      <c r="G80" s="3" t="s">
        <v>969</v>
      </c>
      <c r="H80" s="3"/>
      <c r="I80" s="18" t="s">
        <v>19</v>
      </c>
      <c r="J80" s="18"/>
      <c r="K80" s="22"/>
      <c r="L80" s="22" t="s">
        <v>983</v>
      </c>
      <c r="V80" s="4">
        <v>3.0</v>
      </c>
      <c r="Z80" s="4" t="s">
        <v>834</v>
      </c>
    </row>
    <row r="81">
      <c r="A81" s="3" t="s">
        <v>984</v>
      </c>
      <c r="B81" s="4" t="s">
        <v>246</v>
      </c>
      <c r="C81" s="4" t="s">
        <v>129</v>
      </c>
      <c r="D81" s="4" t="s">
        <v>924</v>
      </c>
      <c r="E81" s="4" t="s">
        <v>925</v>
      </c>
      <c r="F81" s="3" t="s">
        <v>758</v>
      </c>
      <c r="G81" s="3" t="s">
        <v>969</v>
      </c>
      <c r="H81" s="3"/>
      <c r="I81" s="18" t="s">
        <v>19</v>
      </c>
      <c r="J81" s="18"/>
      <c r="K81" s="22" t="s">
        <v>770</v>
      </c>
      <c r="L81" s="22" t="s">
        <v>985</v>
      </c>
      <c r="V81" s="4">
        <v>3.0</v>
      </c>
      <c r="Z81" s="4" t="s">
        <v>834</v>
      </c>
    </row>
    <row r="82">
      <c r="A82" s="3" t="s">
        <v>986</v>
      </c>
      <c r="B82" s="4" t="s">
        <v>246</v>
      </c>
      <c r="C82" s="4" t="s">
        <v>133</v>
      </c>
      <c r="D82" s="4" t="s">
        <v>987</v>
      </c>
      <c r="E82" s="4" t="s">
        <v>270</v>
      </c>
      <c r="F82" s="3" t="s">
        <v>988</v>
      </c>
      <c r="G82" s="3" t="s">
        <v>969</v>
      </c>
      <c r="H82" s="3"/>
      <c r="I82" s="18" t="s">
        <v>19</v>
      </c>
      <c r="J82" s="18"/>
      <c r="K82" s="22"/>
      <c r="L82" s="22" t="s">
        <v>989</v>
      </c>
      <c r="V82" s="4">
        <v>3.0</v>
      </c>
      <c r="W82" s="4" t="s">
        <v>80</v>
      </c>
      <c r="Z82" s="4" t="s">
        <v>834</v>
      </c>
    </row>
    <row r="83">
      <c r="A83" s="3" t="s">
        <v>990</v>
      </c>
      <c r="B83" s="4" t="s">
        <v>246</v>
      </c>
      <c r="C83" s="4" t="s">
        <v>137</v>
      </c>
      <c r="D83" s="4" t="s">
        <v>991</v>
      </c>
      <c r="E83" s="4" t="s">
        <v>992</v>
      </c>
      <c r="F83" s="3" t="s">
        <v>993</v>
      </c>
      <c r="G83" s="3" t="s">
        <v>341</v>
      </c>
      <c r="H83" s="3"/>
      <c r="I83" s="2" t="s">
        <v>782</v>
      </c>
      <c r="J83" s="23" t="s">
        <v>20</v>
      </c>
      <c r="K83" s="2"/>
      <c r="L83" s="2" t="s">
        <v>994</v>
      </c>
      <c r="V83" s="4">
        <v>3.0</v>
      </c>
      <c r="W83" s="2" t="s">
        <v>995</v>
      </c>
      <c r="Y83" s="4" t="s">
        <v>996</v>
      </c>
      <c r="Z83" s="4" t="s">
        <v>997</v>
      </c>
    </row>
    <row r="84">
      <c r="A84" s="3" t="s">
        <v>998</v>
      </c>
      <c r="B84" s="4" t="s">
        <v>246</v>
      </c>
      <c r="C84" s="4" t="s">
        <v>140</v>
      </c>
      <c r="D84" s="4" t="s">
        <v>991</v>
      </c>
      <c r="E84" s="4" t="s">
        <v>992</v>
      </c>
      <c r="F84" s="3" t="s">
        <v>999</v>
      </c>
      <c r="G84" s="3" t="s">
        <v>341</v>
      </c>
      <c r="H84" s="3"/>
      <c r="I84" s="2" t="s">
        <v>793</v>
      </c>
      <c r="J84" s="18" t="s">
        <v>20</v>
      </c>
      <c r="K84" s="22"/>
      <c r="L84" s="22" t="s">
        <v>1000</v>
      </c>
      <c r="V84" s="4">
        <v>4.0</v>
      </c>
      <c r="Z84" s="4" t="s">
        <v>997</v>
      </c>
    </row>
    <row r="85">
      <c r="A85" s="3" t="s">
        <v>1001</v>
      </c>
      <c r="B85" s="4" t="s">
        <v>246</v>
      </c>
      <c r="C85" s="4" t="s">
        <v>146</v>
      </c>
      <c r="D85" s="4" t="s">
        <v>991</v>
      </c>
      <c r="E85" s="4" t="s">
        <v>992</v>
      </c>
      <c r="F85" s="3" t="s">
        <v>993</v>
      </c>
      <c r="G85" s="3" t="s">
        <v>1002</v>
      </c>
      <c r="H85" s="3"/>
      <c r="I85" s="2" t="s">
        <v>796</v>
      </c>
      <c r="J85" s="18" t="s">
        <v>20</v>
      </c>
      <c r="K85" s="2"/>
      <c r="L85" s="2" t="s">
        <v>1003</v>
      </c>
      <c r="V85" s="4">
        <v>4.0</v>
      </c>
      <c r="Z85" s="4" t="s">
        <v>997</v>
      </c>
    </row>
    <row r="86">
      <c r="A86" s="3" t="s">
        <v>1004</v>
      </c>
      <c r="B86" s="4" t="s">
        <v>246</v>
      </c>
      <c r="C86" s="4" t="s">
        <v>150</v>
      </c>
      <c r="D86" s="4" t="s">
        <v>991</v>
      </c>
      <c r="E86" s="4" t="s">
        <v>992</v>
      </c>
      <c r="F86" s="3" t="s">
        <v>993</v>
      </c>
      <c r="G86" s="3" t="s">
        <v>1002</v>
      </c>
      <c r="H86" s="3"/>
      <c r="I86" s="2" t="s">
        <v>799</v>
      </c>
      <c r="J86" s="18" t="s">
        <v>20</v>
      </c>
      <c r="K86" s="22"/>
      <c r="L86" s="22" t="s">
        <v>1005</v>
      </c>
      <c r="V86" s="4">
        <v>4.0</v>
      </c>
      <c r="W86" s="4" t="s">
        <v>1006</v>
      </c>
      <c r="Z86" s="4" t="s">
        <v>997</v>
      </c>
    </row>
    <row r="87">
      <c r="A87" s="3" t="s">
        <v>1007</v>
      </c>
      <c r="B87" s="4" t="s">
        <v>246</v>
      </c>
      <c r="C87" s="4" t="s">
        <v>154</v>
      </c>
      <c r="D87" s="4" t="s">
        <v>1008</v>
      </c>
      <c r="E87" s="4" t="s">
        <v>16</v>
      </c>
      <c r="F87" s="3" t="s">
        <v>993</v>
      </c>
      <c r="G87" s="3" t="s">
        <v>1002</v>
      </c>
      <c r="H87" s="3"/>
      <c r="I87" s="4" t="s">
        <v>786</v>
      </c>
      <c r="J87" s="4"/>
      <c r="K87" s="4"/>
      <c r="L87" s="4" t="s">
        <v>1009</v>
      </c>
      <c r="V87" s="4" t="s">
        <v>1010</v>
      </c>
      <c r="W87" s="4" t="s">
        <v>1011</v>
      </c>
    </row>
    <row r="88">
      <c r="A88" s="3" t="s">
        <v>1012</v>
      </c>
      <c r="B88" s="4" t="s">
        <v>246</v>
      </c>
      <c r="C88" s="4" t="s">
        <v>159</v>
      </c>
      <c r="D88" s="4" t="s">
        <v>991</v>
      </c>
      <c r="E88" s="4" t="s">
        <v>992</v>
      </c>
      <c r="F88" s="3" t="s">
        <v>1013</v>
      </c>
      <c r="G88" s="3" t="s">
        <v>1002</v>
      </c>
      <c r="H88" s="3"/>
      <c r="I88" s="4" t="s">
        <v>19</v>
      </c>
      <c r="J88" s="18" t="s">
        <v>20</v>
      </c>
      <c r="K88" s="2"/>
      <c r="L88" s="2" t="s">
        <v>1014</v>
      </c>
      <c r="V88" s="4">
        <v>5.0</v>
      </c>
      <c r="W88" s="2" t="s">
        <v>1015</v>
      </c>
      <c r="Y88" s="4"/>
      <c r="Z88" s="4" t="s">
        <v>1016</v>
      </c>
    </row>
    <row r="89">
      <c r="A89" s="3" t="s">
        <v>1017</v>
      </c>
      <c r="B89" s="4" t="s">
        <v>246</v>
      </c>
      <c r="C89" s="4" t="s">
        <v>163</v>
      </c>
      <c r="D89" s="4" t="s">
        <v>900</v>
      </c>
      <c r="E89" s="4" t="s">
        <v>338</v>
      </c>
      <c r="F89" s="3" t="s">
        <v>1018</v>
      </c>
      <c r="G89" s="3" t="s">
        <v>166</v>
      </c>
      <c r="H89" s="3"/>
      <c r="I89" s="22" t="s">
        <v>782</v>
      </c>
      <c r="J89" s="18" t="s">
        <v>20</v>
      </c>
      <c r="K89" s="22"/>
      <c r="L89" s="22" t="s">
        <v>1019</v>
      </c>
      <c r="V89" s="4">
        <v>5.0</v>
      </c>
      <c r="W89" s="24" t="s">
        <v>1020</v>
      </c>
      <c r="Y89" s="4"/>
      <c r="Z89" s="4" t="s">
        <v>1021</v>
      </c>
    </row>
    <row r="90">
      <c r="A90" s="3" t="s">
        <v>1022</v>
      </c>
      <c r="B90" s="4" t="s">
        <v>246</v>
      </c>
      <c r="C90" s="4" t="s">
        <v>169</v>
      </c>
      <c r="D90" s="4" t="s">
        <v>900</v>
      </c>
      <c r="E90" s="4" t="s">
        <v>338</v>
      </c>
      <c r="F90" s="3" t="s">
        <v>1023</v>
      </c>
      <c r="G90" s="3" t="s">
        <v>166</v>
      </c>
      <c r="H90" s="3"/>
      <c r="I90" s="22" t="s">
        <v>793</v>
      </c>
      <c r="J90" s="18" t="s">
        <v>20</v>
      </c>
      <c r="K90" s="22"/>
      <c r="L90" s="22" t="s">
        <v>1024</v>
      </c>
      <c r="V90" s="4">
        <v>5.0</v>
      </c>
      <c r="Y90" s="4"/>
      <c r="Z90" s="4" t="s">
        <v>1021</v>
      </c>
    </row>
    <row r="91">
      <c r="A91" s="3" t="s">
        <v>1025</v>
      </c>
      <c r="B91" s="4" t="s">
        <v>246</v>
      </c>
      <c r="C91" s="4" t="s">
        <v>173</v>
      </c>
      <c r="D91" s="4" t="s">
        <v>900</v>
      </c>
      <c r="E91" s="4" t="s">
        <v>338</v>
      </c>
      <c r="F91" s="3" t="s">
        <v>1023</v>
      </c>
      <c r="G91" s="3" t="s">
        <v>166</v>
      </c>
      <c r="H91" s="3"/>
      <c r="I91" s="2" t="s">
        <v>796</v>
      </c>
      <c r="J91" s="18" t="s">
        <v>20</v>
      </c>
      <c r="K91" s="4"/>
      <c r="L91" s="4" t="s">
        <v>1026</v>
      </c>
      <c r="V91" s="4">
        <v>5.0</v>
      </c>
      <c r="Y91" s="4"/>
      <c r="Z91" s="4" t="s">
        <v>1021</v>
      </c>
    </row>
    <row r="92">
      <c r="A92" s="3" t="s">
        <v>1027</v>
      </c>
      <c r="B92" s="4" t="s">
        <v>246</v>
      </c>
      <c r="C92" s="4" t="s">
        <v>177</v>
      </c>
      <c r="D92" s="4" t="s">
        <v>900</v>
      </c>
      <c r="E92" s="4" t="s">
        <v>338</v>
      </c>
      <c r="F92" s="3" t="s">
        <v>1023</v>
      </c>
      <c r="G92" s="3" t="s">
        <v>166</v>
      </c>
      <c r="H92" s="3"/>
      <c r="I92" s="22" t="s">
        <v>799</v>
      </c>
      <c r="J92" s="18" t="s">
        <v>20</v>
      </c>
      <c r="K92" s="22"/>
      <c r="L92" s="22" t="s">
        <v>1028</v>
      </c>
      <c r="V92" s="4">
        <v>5.0</v>
      </c>
      <c r="Y92" s="4"/>
      <c r="Z92" s="4" t="s">
        <v>1021</v>
      </c>
    </row>
    <row r="93">
      <c r="A93" s="3" t="s">
        <v>1029</v>
      </c>
      <c r="B93" s="4" t="s">
        <v>246</v>
      </c>
      <c r="C93" s="4" t="s">
        <v>180</v>
      </c>
      <c r="D93" s="4" t="s">
        <v>900</v>
      </c>
      <c r="E93" s="4" t="s">
        <v>338</v>
      </c>
      <c r="F93" s="3" t="s">
        <v>1023</v>
      </c>
      <c r="G93" s="3" t="s">
        <v>166</v>
      </c>
      <c r="H93" s="3"/>
      <c r="I93" s="4" t="s">
        <v>19</v>
      </c>
      <c r="J93" s="18" t="s">
        <v>20</v>
      </c>
      <c r="K93" s="2"/>
      <c r="L93" s="2" t="s">
        <v>1030</v>
      </c>
      <c r="V93" s="4">
        <v>5.0</v>
      </c>
      <c r="Y93" s="4"/>
      <c r="Z93" s="4" t="s">
        <v>1016</v>
      </c>
    </row>
    <row r="94">
      <c r="A94" s="3" t="s">
        <v>1031</v>
      </c>
      <c r="B94" s="4" t="s">
        <v>246</v>
      </c>
      <c r="C94" s="4" t="s">
        <v>183</v>
      </c>
      <c r="D94" s="4" t="s">
        <v>1032</v>
      </c>
      <c r="E94" s="4" t="s">
        <v>1033</v>
      </c>
      <c r="F94" s="3" t="s">
        <v>1034</v>
      </c>
      <c r="G94" s="3" t="s">
        <v>166</v>
      </c>
      <c r="H94" s="3"/>
      <c r="I94" s="4" t="s">
        <v>19</v>
      </c>
      <c r="J94" s="18" t="s">
        <v>20</v>
      </c>
      <c r="K94" s="2"/>
      <c r="L94" s="2" t="s">
        <v>1035</v>
      </c>
      <c r="V94" s="4">
        <v>5.0</v>
      </c>
      <c r="Y94" s="4"/>
      <c r="Z94" s="4" t="s">
        <v>1016</v>
      </c>
    </row>
    <row r="95">
      <c r="A95" s="3" t="s">
        <v>1036</v>
      </c>
      <c r="B95" s="4" t="s">
        <v>246</v>
      </c>
      <c r="C95" s="4" t="s">
        <v>185</v>
      </c>
      <c r="D95" s="4" t="s">
        <v>1037</v>
      </c>
      <c r="E95" s="4" t="s">
        <v>1038</v>
      </c>
      <c r="F95" s="3" t="s">
        <v>1013</v>
      </c>
      <c r="G95" s="3" t="s">
        <v>166</v>
      </c>
      <c r="H95" s="3"/>
      <c r="I95" s="4" t="s">
        <v>19</v>
      </c>
      <c r="J95" s="18" t="s">
        <v>20</v>
      </c>
      <c r="K95" s="22"/>
      <c r="L95" s="22" t="s">
        <v>1039</v>
      </c>
      <c r="V95" s="4">
        <v>5.0</v>
      </c>
    </row>
    <row r="96">
      <c r="A96" s="3" t="s">
        <v>1040</v>
      </c>
      <c r="B96" s="4" t="s">
        <v>246</v>
      </c>
      <c r="C96" s="4" t="s">
        <v>187</v>
      </c>
      <c r="D96" s="4" t="s">
        <v>1008</v>
      </c>
      <c r="E96" s="4" t="s">
        <v>16</v>
      </c>
      <c r="F96" s="3" t="s">
        <v>1023</v>
      </c>
      <c r="G96" s="3" t="s">
        <v>166</v>
      </c>
      <c r="H96" s="3"/>
      <c r="I96" s="4" t="s">
        <v>19</v>
      </c>
      <c r="J96" s="18" t="s">
        <v>20</v>
      </c>
      <c r="K96" s="4"/>
      <c r="L96" s="4" t="s">
        <v>1041</v>
      </c>
      <c r="V96" s="4">
        <v>5.0</v>
      </c>
      <c r="W96" s="4" t="s">
        <v>1042</v>
      </c>
    </row>
    <row r="97">
      <c r="A97" s="3" t="s">
        <v>1043</v>
      </c>
      <c r="F97" s="11"/>
      <c r="G97" s="11"/>
      <c r="H97" s="11"/>
      <c r="K97" s="4"/>
      <c r="L97" s="4" t="s">
        <v>1044</v>
      </c>
      <c r="W97" s="4" t="s">
        <v>80</v>
      </c>
    </row>
    <row r="98">
      <c r="A98" s="3" t="s">
        <v>1045</v>
      </c>
      <c r="B98" s="4" t="s">
        <v>246</v>
      </c>
      <c r="C98" s="4" t="s">
        <v>189</v>
      </c>
      <c r="D98" s="4" t="s">
        <v>924</v>
      </c>
      <c r="E98" s="4" t="s">
        <v>925</v>
      </c>
      <c r="F98" s="3" t="s">
        <v>1013</v>
      </c>
      <c r="G98" s="3" t="s">
        <v>341</v>
      </c>
      <c r="H98" s="3"/>
      <c r="I98" s="4" t="s">
        <v>19</v>
      </c>
      <c r="J98" s="18" t="s">
        <v>20</v>
      </c>
      <c r="K98" s="22"/>
      <c r="L98" s="22" t="s">
        <v>1046</v>
      </c>
      <c r="V98" s="4">
        <v>5.0</v>
      </c>
      <c r="W98" s="4" t="s">
        <v>1047</v>
      </c>
    </row>
    <row r="99">
      <c r="A99" s="3" t="s">
        <v>1048</v>
      </c>
      <c r="B99" s="4" t="s">
        <v>246</v>
      </c>
      <c r="C99" s="4" t="s">
        <v>193</v>
      </c>
      <c r="D99" s="4" t="s">
        <v>924</v>
      </c>
      <c r="E99" s="4" t="s">
        <v>925</v>
      </c>
      <c r="F99" s="3" t="s">
        <v>1049</v>
      </c>
      <c r="G99" s="3" t="s">
        <v>1050</v>
      </c>
      <c r="H99" s="3"/>
      <c r="I99" s="4" t="s">
        <v>19</v>
      </c>
      <c r="J99" s="18" t="s">
        <v>20</v>
      </c>
      <c r="K99" s="2" t="s">
        <v>1051</v>
      </c>
      <c r="L99" s="2" t="s">
        <v>1052</v>
      </c>
      <c r="V99" s="4">
        <v>5.0</v>
      </c>
    </row>
    <row r="100">
      <c r="A100" s="3" t="s">
        <v>1053</v>
      </c>
      <c r="B100" s="4" t="s">
        <v>246</v>
      </c>
      <c r="C100" s="4" t="s">
        <v>196</v>
      </c>
      <c r="D100" s="4" t="s">
        <v>924</v>
      </c>
      <c r="E100" s="4" t="s">
        <v>925</v>
      </c>
      <c r="F100" s="3" t="s">
        <v>1049</v>
      </c>
      <c r="G100" s="3" t="s">
        <v>1050</v>
      </c>
      <c r="H100" s="3"/>
      <c r="I100" s="2" t="s">
        <v>782</v>
      </c>
      <c r="J100" s="18" t="s">
        <v>20</v>
      </c>
      <c r="K100" s="4"/>
      <c r="L100" s="4" t="s">
        <v>1054</v>
      </c>
      <c r="V100" s="4">
        <v>5.0</v>
      </c>
    </row>
    <row r="101">
      <c r="A101" s="3" t="s">
        <v>1055</v>
      </c>
      <c r="B101" s="4" t="s">
        <v>246</v>
      </c>
      <c r="C101" s="4" t="s">
        <v>199</v>
      </c>
      <c r="D101" s="4" t="s">
        <v>924</v>
      </c>
      <c r="E101" s="4" t="s">
        <v>925</v>
      </c>
      <c r="F101" s="3" t="s">
        <v>1049</v>
      </c>
      <c r="G101" s="3" t="s">
        <v>1050</v>
      </c>
      <c r="H101" s="3"/>
      <c r="I101" s="2" t="s">
        <v>793</v>
      </c>
      <c r="J101" s="18" t="s">
        <v>20</v>
      </c>
      <c r="K101" s="22"/>
      <c r="L101" s="22" t="s">
        <v>1056</v>
      </c>
      <c r="V101" s="4">
        <v>5.0</v>
      </c>
    </row>
    <row r="102">
      <c r="A102" s="3" t="s">
        <v>1057</v>
      </c>
      <c r="B102" s="4" t="s">
        <v>246</v>
      </c>
      <c r="C102" s="4" t="s">
        <v>202</v>
      </c>
      <c r="D102" s="4" t="s">
        <v>924</v>
      </c>
      <c r="E102" s="4" t="s">
        <v>925</v>
      </c>
      <c r="F102" s="3" t="s">
        <v>1049</v>
      </c>
      <c r="G102" s="3" t="s">
        <v>1050</v>
      </c>
      <c r="H102" s="3"/>
      <c r="I102" s="2" t="s">
        <v>796</v>
      </c>
      <c r="J102" s="18" t="s">
        <v>20</v>
      </c>
      <c r="K102" s="22"/>
      <c r="L102" s="22" t="s">
        <v>1058</v>
      </c>
      <c r="V102" s="4">
        <v>5.0</v>
      </c>
    </row>
    <row r="103">
      <c r="A103" s="3" t="s">
        <v>1059</v>
      </c>
      <c r="B103" s="4" t="s">
        <v>246</v>
      </c>
      <c r="C103" s="4" t="s">
        <v>204</v>
      </c>
      <c r="D103" s="4" t="s">
        <v>924</v>
      </c>
      <c r="E103" s="4" t="s">
        <v>925</v>
      </c>
      <c r="F103" s="3" t="s">
        <v>1049</v>
      </c>
      <c r="G103" s="3" t="s">
        <v>1050</v>
      </c>
      <c r="H103" s="3"/>
      <c r="I103" s="2" t="s">
        <v>799</v>
      </c>
      <c r="J103" s="18" t="s">
        <v>20</v>
      </c>
      <c r="K103" s="22"/>
      <c r="L103" s="22" t="s">
        <v>1060</v>
      </c>
      <c r="V103" s="4">
        <v>5.0</v>
      </c>
    </row>
    <row r="104">
      <c r="A104" s="3" t="s">
        <v>1061</v>
      </c>
      <c r="B104" s="4" t="s">
        <v>246</v>
      </c>
      <c r="C104" s="4" t="s">
        <v>208</v>
      </c>
      <c r="D104" s="4" t="s">
        <v>924</v>
      </c>
      <c r="E104" s="4" t="s">
        <v>925</v>
      </c>
      <c r="F104" s="3" t="s">
        <v>1062</v>
      </c>
      <c r="G104" s="3" t="s">
        <v>1050</v>
      </c>
      <c r="H104" s="3"/>
      <c r="I104" s="2" t="s">
        <v>953</v>
      </c>
      <c r="J104" s="18" t="s">
        <v>20</v>
      </c>
      <c r="K104" s="2"/>
      <c r="L104" s="2" t="s">
        <v>1063</v>
      </c>
      <c r="V104" s="4">
        <v>5.0</v>
      </c>
    </row>
    <row r="105">
      <c r="A105" s="3" t="s">
        <v>1064</v>
      </c>
      <c r="B105" s="4" t="s">
        <v>246</v>
      </c>
      <c r="C105" s="4" t="s">
        <v>210</v>
      </c>
      <c r="D105" s="4" t="s">
        <v>924</v>
      </c>
      <c r="E105" s="4" t="s">
        <v>925</v>
      </c>
      <c r="F105" s="3" t="s">
        <v>1049</v>
      </c>
      <c r="G105" s="3" t="s">
        <v>1050</v>
      </c>
      <c r="H105" s="3"/>
      <c r="I105" s="2" t="s">
        <v>1065</v>
      </c>
      <c r="J105" s="18" t="s">
        <v>20</v>
      </c>
      <c r="K105" s="2"/>
      <c r="L105" s="2" t="s">
        <v>1066</v>
      </c>
      <c r="V105" s="4">
        <v>5.0</v>
      </c>
    </row>
    <row r="106">
      <c r="A106" s="3" t="s">
        <v>1067</v>
      </c>
      <c r="B106" s="4" t="s">
        <v>246</v>
      </c>
      <c r="C106" s="4" t="s">
        <v>217</v>
      </c>
      <c r="D106" s="4" t="s">
        <v>924</v>
      </c>
      <c r="E106" s="4" t="s">
        <v>925</v>
      </c>
      <c r="F106" s="3" t="s">
        <v>1049</v>
      </c>
      <c r="G106" s="3" t="s">
        <v>1050</v>
      </c>
      <c r="H106" s="3"/>
      <c r="I106" s="2" t="s">
        <v>1068</v>
      </c>
      <c r="J106" s="18" t="s">
        <v>20</v>
      </c>
      <c r="K106" s="2"/>
      <c r="L106" s="2" t="s">
        <v>1069</v>
      </c>
      <c r="V106" s="4">
        <v>5.0</v>
      </c>
    </row>
    <row r="107">
      <c r="A107" s="3" t="s">
        <v>1070</v>
      </c>
      <c r="B107" s="4" t="s">
        <v>246</v>
      </c>
      <c r="C107" s="4" t="s">
        <v>222</v>
      </c>
      <c r="D107" s="4" t="s">
        <v>924</v>
      </c>
      <c r="E107" s="4" t="s">
        <v>925</v>
      </c>
      <c r="F107" s="3" t="s">
        <v>1049</v>
      </c>
      <c r="G107" s="3" t="s">
        <v>1071</v>
      </c>
      <c r="H107" s="3"/>
      <c r="I107" s="2" t="s">
        <v>1072</v>
      </c>
      <c r="J107" s="18" t="s">
        <v>20</v>
      </c>
      <c r="K107" s="22"/>
      <c r="L107" s="22" t="s">
        <v>1073</v>
      </c>
      <c r="V107" s="4">
        <v>5.0</v>
      </c>
    </row>
    <row r="108">
      <c r="A108" s="3" t="s">
        <v>1074</v>
      </c>
      <c r="F108" s="11"/>
      <c r="G108" s="11"/>
      <c r="H108" s="11"/>
      <c r="K108" s="4"/>
      <c r="L108" s="4" t="s">
        <v>1044</v>
      </c>
      <c r="W108" s="4" t="s">
        <v>80</v>
      </c>
    </row>
    <row r="109">
      <c r="A109" s="3" t="s">
        <v>1075</v>
      </c>
      <c r="B109" s="4" t="s">
        <v>13</v>
      </c>
      <c r="C109" s="4" t="s">
        <v>235</v>
      </c>
      <c r="D109" s="4" t="s">
        <v>1076</v>
      </c>
      <c r="E109" s="4" t="s">
        <v>1077</v>
      </c>
      <c r="F109" s="3" t="s">
        <v>1078</v>
      </c>
      <c r="G109" s="3" t="s">
        <v>94</v>
      </c>
      <c r="H109" s="3"/>
      <c r="I109" s="4" t="s">
        <v>19</v>
      </c>
      <c r="J109" s="18" t="s">
        <v>20</v>
      </c>
      <c r="K109" s="22"/>
      <c r="L109" s="22" t="s">
        <v>1079</v>
      </c>
      <c r="V109" s="4">
        <v>5.0</v>
      </c>
      <c r="W109" s="4" t="s">
        <v>1080</v>
      </c>
    </row>
    <row r="110">
      <c r="A110" s="3" t="s">
        <v>1081</v>
      </c>
      <c r="B110" s="4" t="s">
        <v>13</v>
      </c>
      <c r="C110" s="4" t="s">
        <v>239</v>
      </c>
      <c r="D110" s="4" t="s">
        <v>1076</v>
      </c>
      <c r="E110" s="4" t="s">
        <v>1077</v>
      </c>
      <c r="F110" s="3" t="s">
        <v>714</v>
      </c>
      <c r="G110" s="3" t="s">
        <v>94</v>
      </c>
      <c r="H110" s="3"/>
      <c r="I110" s="4" t="s">
        <v>37</v>
      </c>
      <c r="J110" s="18" t="s">
        <v>20</v>
      </c>
      <c r="K110" s="4"/>
      <c r="L110" s="4" t="s">
        <v>1082</v>
      </c>
      <c r="V110" s="4">
        <v>5.0</v>
      </c>
    </row>
    <row r="111">
      <c r="A111" s="3" t="s">
        <v>1083</v>
      </c>
      <c r="B111" s="4" t="s">
        <v>13</v>
      </c>
      <c r="C111" s="4" t="s">
        <v>243</v>
      </c>
      <c r="D111" s="4" t="s">
        <v>1084</v>
      </c>
      <c r="E111" s="4" t="s">
        <v>1085</v>
      </c>
      <c r="F111" s="3" t="s">
        <v>714</v>
      </c>
      <c r="G111" s="3" t="s">
        <v>1086</v>
      </c>
      <c r="H111" s="3"/>
      <c r="I111" s="4" t="s">
        <v>37</v>
      </c>
      <c r="J111" s="18" t="s">
        <v>20</v>
      </c>
      <c r="K111" s="4"/>
      <c r="L111" s="4" t="s">
        <v>1087</v>
      </c>
      <c r="V111" s="4" t="s">
        <v>1088</v>
      </c>
    </row>
    <row r="112">
      <c r="A112" s="3" t="s">
        <v>1089</v>
      </c>
      <c r="F112" s="11"/>
      <c r="G112" s="11"/>
      <c r="H112" s="11"/>
      <c r="I112" s="4" t="s">
        <v>37</v>
      </c>
      <c r="J112" s="18" t="s">
        <v>20</v>
      </c>
      <c r="K112" s="4"/>
      <c r="L112" s="4" t="s">
        <v>1090</v>
      </c>
      <c r="W112" s="4" t="s">
        <v>215</v>
      </c>
    </row>
    <row r="113">
      <c r="A113" s="3" t="s">
        <v>1091</v>
      </c>
      <c r="B113" s="4" t="s">
        <v>13</v>
      </c>
      <c r="C113" s="4" t="s">
        <v>368</v>
      </c>
      <c r="D113" s="4" t="s">
        <v>1076</v>
      </c>
      <c r="E113" s="4" t="s">
        <v>1077</v>
      </c>
      <c r="F113" s="3" t="s">
        <v>729</v>
      </c>
      <c r="G113" s="3" t="s">
        <v>1086</v>
      </c>
      <c r="H113" s="3"/>
      <c r="I113" s="4" t="s">
        <v>60</v>
      </c>
      <c r="J113" s="4"/>
      <c r="K113" s="4"/>
      <c r="L113" s="4" t="s">
        <v>1092</v>
      </c>
      <c r="V113" s="4" t="s">
        <v>1093</v>
      </c>
      <c r="W113" s="4" t="s">
        <v>1094</v>
      </c>
    </row>
    <row r="114">
      <c r="A114" s="3" t="s">
        <v>1095</v>
      </c>
      <c r="B114" s="4" t="s">
        <v>13</v>
      </c>
      <c r="C114" s="4" t="s">
        <v>373</v>
      </c>
      <c r="D114" s="4" t="s">
        <v>1096</v>
      </c>
      <c r="E114" s="4" t="s">
        <v>370</v>
      </c>
      <c r="F114" s="3" t="s">
        <v>965</v>
      </c>
      <c r="G114" s="3" t="s">
        <v>1097</v>
      </c>
      <c r="H114" s="3"/>
      <c r="I114" s="4" t="s">
        <v>19</v>
      </c>
      <c r="J114" s="4" t="s">
        <v>20</v>
      </c>
      <c r="K114" s="22"/>
      <c r="L114" s="22" t="s">
        <v>1098</v>
      </c>
      <c r="V114" s="4" t="s">
        <v>1093</v>
      </c>
    </row>
    <row r="115">
      <c r="A115" s="3" t="s">
        <v>1099</v>
      </c>
      <c r="B115" s="4" t="s">
        <v>13</v>
      </c>
      <c r="C115" s="4" t="s">
        <v>377</v>
      </c>
      <c r="D115" s="4" t="s">
        <v>862</v>
      </c>
      <c r="E115" s="4" t="s">
        <v>863</v>
      </c>
      <c r="F115" s="3" t="s">
        <v>804</v>
      </c>
      <c r="G115" s="3" t="s">
        <v>1097</v>
      </c>
      <c r="H115" s="3"/>
      <c r="I115" s="4" t="s">
        <v>19</v>
      </c>
      <c r="J115" s="4" t="s">
        <v>254</v>
      </c>
      <c r="K115" s="22"/>
      <c r="L115" s="22" t="s">
        <v>1100</v>
      </c>
      <c r="V115" s="4" t="s">
        <v>1093</v>
      </c>
    </row>
    <row r="116">
      <c r="A116" s="3" t="s">
        <v>1101</v>
      </c>
      <c r="B116" s="4" t="s">
        <v>13</v>
      </c>
      <c r="C116" s="4" t="s">
        <v>381</v>
      </c>
      <c r="D116" s="4" t="s">
        <v>1096</v>
      </c>
      <c r="E116" s="4" t="s">
        <v>370</v>
      </c>
      <c r="F116" s="3" t="s">
        <v>1102</v>
      </c>
      <c r="G116" s="3" t="s">
        <v>1097</v>
      </c>
      <c r="H116" s="3"/>
      <c r="I116" s="4" t="s">
        <v>100</v>
      </c>
      <c r="J116" s="4" t="s">
        <v>20</v>
      </c>
      <c r="K116" s="2"/>
      <c r="L116" s="2" t="s">
        <v>1103</v>
      </c>
      <c r="V116" s="4" t="s">
        <v>1093</v>
      </c>
    </row>
    <row r="117">
      <c r="A117" s="3" t="s">
        <v>1104</v>
      </c>
      <c r="B117" s="4" t="s">
        <v>13</v>
      </c>
      <c r="C117" s="4" t="s">
        <v>385</v>
      </c>
      <c r="D117" s="4" t="s">
        <v>1076</v>
      </c>
      <c r="E117" s="4" t="s">
        <v>1077</v>
      </c>
      <c r="F117" s="3" t="s">
        <v>729</v>
      </c>
      <c r="G117" s="3" t="s">
        <v>94</v>
      </c>
      <c r="H117" s="3" t="s">
        <v>95</v>
      </c>
      <c r="I117" s="4" t="s">
        <v>60</v>
      </c>
      <c r="K117" s="21"/>
      <c r="L117" s="21" t="s">
        <v>1105</v>
      </c>
      <c r="V117" s="4" t="s">
        <v>1093</v>
      </c>
    </row>
    <row r="118">
      <c r="A118" s="3" t="s">
        <v>1106</v>
      </c>
      <c r="B118" s="4" t="s">
        <v>13</v>
      </c>
      <c r="C118" s="4" t="s">
        <v>439</v>
      </c>
      <c r="D118" s="4" t="s">
        <v>1107</v>
      </c>
      <c r="E118" s="4" t="s">
        <v>1108</v>
      </c>
      <c r="F118" s="3" t="s">
        <v>873</v>
      </c>
      <c r="G118" s="3" t="s">
        <v>94</v>
      </c>
      <c r="H118" s="3" t="s">
        <v>95</v>
      </c>
      <c r="I118" s="4" t="s">
        <v>60</v>
      </c>
      <c r="K118" s="22"/>
      <c r="L118" s="22" t="s">
        <v>1109</v>
      </c>
      <c r="V118" s="4" t="s">
        <v>1093</v>
      </c>
    </row>
    <row r="119">
      <c r="A119" s="3" t="s">
        <v>1110</v>
      </c>
      <c r="B119" s="4" t="s">
        <v>13</v>
      </c>
      <c r="C119" s="4" t="s">
        <v>443</v>
      </c>
      <c r="D119" s="4" t="s">
        <v>1111</v>
      </c>
      <c r="E119" s="4" t="s">
        <v>1112</v>
      </c>
      <c r="F119" s="3" t="s">
        <v>1113</v>
      </c>
      <c r="G119" s="3" t="s">
        <v>94</v>
      </c>
      <c r="H119" s="3" t="s">
        <v>95</v>
      </c>
      <c r="I119" s="4" t="s">
        <v>60</v>
      </c>
      <c r="K119" s="22"/>
      <c r="L119" s="22" t="s">
        <v>1114</v>
      </c>
      <c r="V119" s="4" t="s">
        <v>1093</v>
      </c>
    </row>
    <row r="120">
      <c r="A120" s="3" t="s">
        <v>1115</v>
      </c>
      <c r="B120" s="4" t="s">
        <v>13</v>
      </c>
      <c r="C120" s="4" t="s">
        <v>446</v>
      </c>
      <c r="D120" s="4" t="s">
        <v>1111</v>
      </c>
      <c r="E120" s="4" t="s">
        <v>1112</v>
      </c>
      <c r="F120" s="3" t="s">
        <v>1113</v>
      </c>
      <c r="G120" s="3" t="s">
        <v>94</v>
      </c>
      <c r="H120" s="3" t="s">
        <v>95</v>
      </c>
      <c r="I120" s="4" t="s">
        <v>67</v>
      </c>
      <c r="K120" s="2"/>
      <c r="L120" s="2" t="s">
        <v>1116</v>
      </c>
      <c r="V120" s="4" t="s">
        <v>1093</v>
      </c>
    </row>
    <row r="121">
      <c r="A121" s="3" t="s">
        <v>1117</v>
      </c>
      <c r="B121" s="4" t="s">
        <v>13</v>
      </c>
      <c r="C121" s="4" t="s">
        <v>449</v>
      </c>
      <c r="D121" s="4" t="s">
        <v>1111</v>
      </c>
      <c r="E121" s="4" t="s">
        <v>1112</v>
      </c>
      <c r="F121" s="3" t="s">
        <v>1113</v>
      </c>
      <c r="G121" s="3" t="s">
        <v>94</v>
      </c>
      <c r="H121" s="3" t="s">
        <v>95</v>
      </c>
      <c r="I121" s="4" t="s">
        <v>19</v>
      </c>
      <c r="K121" s="22"/>
      <c r="L121" s="22" t="s">
        <v>1118</v>
      </c>
      <c r="V121" s="4" t="s">
        <v>1093</v>
      </c>
    </row>
    <row r="122">
      <c r="A122" s="3" t="s">
        <v>1119</v>
      </c>
      <c r="B122" s="4" t="s">
        <v>13</v>
      </c>
      <c r="C122" s="4" t="s">
        <v>452</v>
      </c>
      <c r="D122" s="4" t="s">
        <v>1111</v>
      </c>
      <c r="E122" s="4" t="s">
        <v>1112</v>
      </c>
      <c r="F122" s="3" t="s">
        <v>1113</v>
      </c>
      <c r="G122" s="3" t="s">
        <v>1086</v>
      </c>
      <c r="H122" s="3" t="s">
        <v>95</v>
      </c>
      <c r="I122" s="4" t="s">
        <v>100</v>
      </c>
      <c r="K122" s="2"/>
      <c r="L122" s="2" t="s">
        <v>1120</v>
      </c>
      <c r="V122" s="4" t="s">
        <v>1093</v>
      </c>
    </row>
    <row r="123">
      <c r="A123" s="3" t="s">
        <v>1121</v>
      </c>
      <c r="B123" s="4" t="s">
        <v>13</v>
      </c>
      <c r="C123" s="4" t="s">
        <v>455</v>
      </c>
      <c r="D123" s="4" t="s">
        <v>1111</v>
      </c>
      <c r="E123" s="4" t="s">
        <v>1112</v>
      </c>
      <c r="F123" s="3" t="s">
        <v>1113</v>
      </c>
      <c r="G123" s="3" t="s">
        <v>1086</v>
      </c>
      <c r="H123" s="3" t="s">
        <v>95</v>
      </c>
      <c r="I123" s="4" t="s">
        <v>796</v>
      </c>
      <c r="K123" s="22"/>
      <c r="L123" s="22" t="s">
        <v>1122</v>
      </c>
      <c r="V123" s="4" t="s">
        <v>1093</v>
      </c>
    </row>
    <row r="124">
      <c r="A124" s="3" t="s">
        <v>1123</v>
      </c>
      <c r="B124" s="4" t="s">
        <v>13</v>
      </c>
      <c r="C124" s="4" t="s">
        <v>459</v>
      </c>
      <c r="D124" s="4" t="s">
        <v>1107</v>
      </c>
      <c r="E124" s="4" t="s">
        <v>1108</v>
      </c>
      <c r="F124" s="3" t="s">
        <v>1113</v>
      </c>
      <c r="G124" s="3" t="s">
        <v>74</v>
      </c>
      <c r="H124" s="3" t="s">
        <v>126</v>
      </c>
      <c r="I124" s="4" t="s">
        <v>60</v>
      </c>
      <c r="K124" s="22"/>
      <c r="L124" s="22" t="s">
        <v>1124</v>
      </c>
      <c r="V124" s="4" t="s">
        <v>1093</v>
      </c>
    </row>
    <row r="125">
      <c r="A125" s="3" t="s">
        <v>1125</v>
      </c>
      <c r="B125" s="4" t="s">
        <v>13</v>
      </c>
      <c r="C125" s="4" t="s">
        <v>462</v>
      </c>
      <c r="D125" s="4" t="s">
        <v>1107</v>
      </c>
      <c r="E125" s="4" t="s">
        <v>1108</v>
      </c>
      <c r="F125" s="3" t="s">
        <v>1113</v>
      </c>
      <c r="G125" s="3" t="s">
        <v>74</v>
      </c>
      <c r="H125" s="3" t="s">
        <v>126</v>
      </c>
      <c r="I125" s="4" t="s">
        <v>67</v>
      </c>
      <c r="K125" s="22"/>
      <c r="L125" s="22" t="s">
        <v>1126</v>
      </c>
      <c r="V125" s="4" t="s">
        <v>1093</v>
      </c>
    </row>
    <row r="126">
      <c r="A126" s="3" t="s">
        <v>1127</v>
      </c>
      <c r="B126" s="4" t="s">
        <v>13</v>
      </c>
      <c r="C126" s="4" t="s">
        <v>465</v>
      </c>
      <c r="D126" s="4" t="s">
        <v>1107</v>
      </c>
      <c r="E126" s="4" t="s">
        <v>1108</v>
      </c>
      <c r="F126" s="3" t="s">
        <v>873</v>
      </c>
      <c r="G126" s="3" t="s">
        <v>94</v>
      </c>
      <c r="H126" s="3" t="s">
        <v>95</v>
      </c>
      <c r="I126" s="4" t="s">
        <v>67</v>
      </c>
      <c r="K126" s="22"/>
      <c r="L126" s="22" t="s">
        <v>1128</v>
      </c>
      <c r="V126" s="4" t="s">
        <v>1093</v>
      </c>
      <c r="W126" s="4" t="s">
        <v>80</v>
      </c>
    </row>
    <row r="127">
      <c r="A127" s="3" t="s">
        <v>1129</v>
      </c>
      <c r="F127" s="11"/>
      <c r="G127" s="11"/>
      <c r="H127" s="11"/>
      <c r="K127" s="4"/>
      <c r="L127" s="4" t="s">
        <v>1090</v>
      </c>
      <c r="V127" s="4" t="s">
        <v>1093</v>
      </c>
      <c r="W127" s="4" t="s">
        <v>80</v>
      </c>
    </row>
    <row r="128">
      <c r="A128" s="3" t="s">
        <v>1130</v>
      </c>
      <c r="B128" s="4" t="s">
        <v>246</v>
      </c>
      <c r="C128" s="4" t="s">
        <v>224</v>
      </c>
      <c r="D128" s="4" t="s">
        <v>1131</v>
      </c>
      <c r="E128" s="4" t="s">
        <v>1132</v>
      </c>
      <c r="F128" s="3" t="s">
        <v>758</v>
      </c>
      <c r="G128" s="3" t="s">
        <v>94</v>
      </c>
      <c r="H128" s="11"/>
      <c r="I128" s="4" t="s">
        <v>60</v>
      </c>
      <c r="K128" s="22"/>
      <c r="L128" s="22" t="s">
        <v>1133</v>
      </c>
      <c r="V128" s="4" t="s">
        <v>1093</v>
      </c>
    </row>
    <row r="129">
      <c r="A129" s="3" t="s">
        <v>1134</v>
      </c>
      <c r="B129" s="4" t="s">
        <v>246</v>
      </c>
      <c r="C129" s="4" t="s">
        <v>226</v>
      </c>
      <c r="D129" s="4" t="s">
        <v>1131</v>
      </c>
      <c r="E129" s="4" t="s">
        <v>1132</v>
      </c>
      <c r="F129" s="3" t="s">
        <v>974</v>
      </c>
      <c r="G129" s="3" t="s">
        <v>1135</v>
      </c>
      <c r="H129" s="11"/>
      <c r="I129" s="4" t="s">
        <v>67</v>
      </c>
      <c r="J129" s="4" t="s">
        <v>20</v>
      </c>
      <c r="K129" s="22"/>
      <c r="L129" s="22" t="s">
        <v>1136</v>
      </c>
      <c r="V129" s="4" t="s">
        <v>1093</v>
      </c>
    </row>
    <row r="130">
      <c r="A130" s="3" t="s">
        <v>1137</v>
      </c>
      <c r="B130" s="4" t="s">
        <v>246</v>
      </c>
      <c r="C130" s="4" t="s">
        <v>231</v>
      </c>
      <c r="D130" s="4" t="s">
        <v>1138</v>
      </c>
      <c r="E130" s="4" t="s">
        <v>867</v>
      </c>
      <c r="F130" s="3" t="s">
        <v>741</v>
      </c>
      <c r="G130" s="3" t="s">
        <v>74</v>
      </c>
      <c r="H130" s="11"/>
      <c r="I130" s="4" t="s">
        <v>60</v>
      </c>
      <c r="J130" s="4" t="s">
        <v>254</v>
      </c>
      <c r="K130" s="22"/>
      <c r="L130" s="22" t="s">
        <v>1139</v>
      </c>
      <c r="V130" s="4" t="s">
        <v>1093</v>
      </c>
    </row>
    <row r="131">
      <c r="A131" s="3" t="s">
        <v>1140</v>
      </c>
      <c r="B131" s="4" t="s">
        <v>246</v>
      </c>
      <c r="C131" s="4" t="s">
        <v>235</v>
      </c>
      <c r="D131" s="4" t="s">
        <v>1141</v>
      </c>
      <c r="E131" s="4" t="s">
        <v>1142</v>
      </c>
      <c r="F131" s="3" t="s">
        <v>940</v>
      </c>
      <c r="G131" s="3" t="s">
        <v>74</v>
      </c>
      <c r="H131" s="11"/>
      <c r="I131" s="4" t="s">
        <v>60</v>
      </c>
      <c r="J131" s="4" t="s">
        <v>254</v>
      </c>
      <c r="K131" s="4"/>
      <c r="L131" s="4" t="s">
        <v>1143</v>
      </c>
      <c r="V131" s="4" t="s">
        <v>1093</v>
      </c>
    </row>
    <row r="132">
      <c r="A132" s="3" t="s">
        <v>1144</v>
      </c>
      <c r="B132" s="4" t="s">
        <v>246</v>
      </c>
      <c r="C132" s="4" t="s">
        <v>239</v>
      </c>
      <c r="D132" s="4" t="s">
        <v>924</v>
      </c>
      <c r="E132" s="4" t="s">
        <v>925</v>
      </c>
      <c r="F132" s="3" t="s">
        <v>1013</v>
      </c>
      <c r="G132" s="3" t="s">
        <v>1050</v>
      </c>
      <c r="H132" s="11"/>
      <c r="I132" s="4" t="s">
        <v>1145</v>
      </c>
      <c r="J132" s="4" t="s">
        <v>20</v>
      </c>
      <c r="K132" s="4"/>
      <c r="L132" s="4" t="s">
        <v>1146</v>
      </c>
      <c r="V132" s="4" t="s">
        <v>1093</v>
      </c>
    </row>
    <row r="133">
      <c r="A133" s="3" t="s">
        <v>1147</v>
      </c>
      <c r="B133" s="4" t="s">
        <v>246</v>
      </c>
      <c r="C133" s="4" t="s">
        <v>243</v>
      </c>
      <c r="D133" s="4" t="s">
        <v>924</v>
      </c>
      <c r="E133" s="4" t="s">
        <v>925</v>
      </c>
      <c r="F133" s="3" t="s">
        <v>1148</v>
      </c>
      <c r="G133" s="3" t="s">
        <v>1050</v>
      </c>
      <c r="H133" s="11"/>
      <c r="I133" s="4" t="s">
        <v>1145</v>
      </c>
      <c r="J133" s="4" t="s">
        <v>20</v>
      </c>
      <c r="K133" s="22"/>
      <c r="L133" s="22" t="s">
        <v>1149</v>
      </c>
      <c r="V133" s="4" t="s">
        <v>1093</v>
      </c>
    </row>
    <row r="134">
      <c r="A134" s="3" t="s">
        <v>1150</v>
      </c>
      <c r="B134" s="4" t="s">
        <v>246</v>
      </c>
      <c r="C134" s="4" t="s">
        <v>368</v>
      </c>
      <c r="D134" s="4" t="s">
        <v>924</v>
      </c>
      <c r="E134" s="4" t="s">
        <v>925</v>
      </c>
      <c r="F134" s="3" t="s">
        <v>1018</v>
      </c>
      <c r="G134" s="3" t="s">
        <v>155</v>
      </c>
      <c r="H134" s="11"/>
      <c r="I134" s="4" t="s">
        <v>1145</v>
      </c>
      <c r="J134" s="4" t="s">
        <v>20</v>
      </c>
      <c r="K134" s="22"/>
      <c r="L134" s="22" t="s">
        <v>1151</v>
      </c>
      <c r="V134" s="4" t="s">
        <v>1093</v>
      </c>
    </row>
    <row r="135">
      <c r="A135" s="3" t="s">
        <v>1152</v>
      </c>
      <c r="B135" s="4" t="s">
        <v>246</v>
      </c>
      <c r="C135" s="4" t="s">
        <v>373</v>
      </c>
      <c r="D135" s="4" t="s">
        <v>924</v>
      </c>
      <c r="E135" s="4" t="s">
        <v>925</v>
      </c>
      <c r="F135" s="3" t="s">
        <v>1153</v>
      </c>
      <c r="G135" s="3" t="s">
        <v>155</v>
      </c>
      <c r="H135" s="11"/>
      <c r="I135" s="4" t="s">
        <v>1145</v>
      </c>
      <c r="J135" s="4" t="s">
        <v>20</v>
      </c>
      <c r="K135" s="22"/>
      <c r="L135" s="22" t="s">
        <v>1154</v>
      </c>
      <c r="V135" s="4" t="s">
        <v>1093</v>
      </c>
    </row>
    <row r="136">
      <c r="A136" s="3" t="s">
        <v>1155</v>
      </c>
      <c r="B136" s="4" t="s">
        <v>246</v>
      </c>
      <c r="C136" s="4" t="s">
        <v>377</v>
      </c>
      <c r="D136" s="4" t="s">
        <v>991</v>
      </c>
      <c r="E136" s="4" t="s">
        <v>992</v>
      </c>
      <c r="F136" s="3" t="s">
        <v>1156</v>
      </c>
      <c r="G136" s="3" t="s">
        <v>155</v>
      </c>
      <c r="H136" s="11"/>
      <c r="I136" s="4" t="s">
        <v>1145</v>
      </c>
      <c r="J136" s="4" t="s">
        <v>20</v>
      </c>
      <c r="K136" s="22"/>
      <c r="L136" s="22" t="s">
        <v>1157</v>
      </c>
      <c r="V136" s="4" t="s">
        <v>1093</v>
      </c>
    </row>
    <row r="137">
      <c r="A137" s="3" t="s">
        <v>1158</v>
      </c>
      <c r="B137" s="4" t="s">
        <v>246</v>
      </c>
      <c r="C137" s="4" t="s">
        <v>381</v>
      </c>
      <c r="D137" s="4" t="s">
        <v>991</v>
      </c>
      <c r="E137" s="4" t="s">
        <v>992</v>
      </c>
      <c r="F137" s="3" t="s">
        <v>1148</v>
      </c>
      <c r="G137" s="3" t="s">
        <v>1002</v>
      </c>
      <c r="H137" s="11"/>
      <c r="I137" s="4" t="s">
        <v>1145</v>
      </c>
      <c r="J137" s="4" t="s">
        <v>20</v>
      </c>
      <c r="K137" s="22"/>
      <c r="L137" s="22" t="s">
        <v>1159</v>
      </c>
      <c r="V137" s="4" t="s">
        <v>1093</v>
      </c>
    </row>
    <row r="138">
      <c r="A138" s="3" t="s">
        <v>1160</v>
      </c>
      <c r="B138" s="4" t="s">
        <v>246</v>
      </c>
      <c r="C138" s="4" t="s">
        <v>385</v>
      </c>
      <c r="D138" s="4" t="s">
        <v>900</v>
      </c>
      <c r="E138" s="4" t="s">
        <v>1161</v>
      </c>
      <c r="F138" s="3" t="s">
        <v>965</v>
      </c>
      <c r="G138" s="3" t="s">
        <v>1162</v>
      </c>
      <c r="H138" s="11"/>
      <c r="I138" s="4" t="s">
        <v>1145</v>
      </c>
      <c r="J138" s="4" t="s">
        <v>254</v>
      </c>
      <c r="K138" s="22"/>
      <c r="L138" s="22" t="s">
        <v>1163</v>
      </c>
      <c r="V138" s="4" t="s">
        <v>1093</v>
      </c>
    </row>
    <row r="139">
      <c r="A139" s="3" t="s">
        <v>1164</v>
      </c>
      <c r="B139" s="4" t="s">
        <v>13</v>
      </c>
      <c r="C139" s="4" t="s">
        <v>468</v>
      </c>
      <c r="D139" s="4" t="s">
        <v>1165</v>
      </c>
      <c r="E139" s="4" t="s">
        <v>1166</v>
      </c>
      <c r="F139" s="3" t="s">
        <v>853</v>
      </c>
      <c r="G139" s="3" t="s">
        <v>1097</v>
      </c>
      <c r="H139" s="11"/>
      <c r="I139" s="4" t="s">
        <v>1145</v>
      </c>
      <c r="J139" s="4" t="s">
        <v>20</v>
      </c>
      <c r="L139" s="22" t="s">
        <v>1167</v>
      </c>
      <c r="V139" s="4" t="s">
        <v>1093</v>
      </c>
    </row>
    <row r="140">
      <c r="A140" s="3" t="s">
        <v>1168</v>
      </c>
      <c r="B140" s="4" t="s">
        <v>246</v>
      </c>
      <c r="C140" s="4" t="s">
        <v>439</v>
      </c>
      <c r="D140" s="4" t="s">
        <v>1131</v>
      </c>
      <c r="E140" s="4" t="s">
        <v>1132</v>
      </c>
      <c r="F140" s="3" t="s">
        <v>842</v>
      </c>
      <c r="G140" s="3" t="s">
        <v>36</v>
      </c>
      <c r="H140" s="11"/>
      <c r="I140" s="4" t="s">
        <v>60</v>
      </c>
      <c r="L140" s="22" t="s">
        <v>1169</v>
      </c>
      <c r="V140" s="4" t="s">
        <v>1093</v>
      </c>
    </row>
    <row r="141">
      <c r="A141" s="3" t="s">
        <v>1170</v>
      </c>
      <c r="F141" s="11"/>
      <c r="G141" s="11"/>
      <c r="H141" s="11"/>
      <c r="W141" s="4" t="s">
        <v>215</v>
      </c>
    </row>
    <row r="142">
      <c r="A142" s="3" t="s">
        <v>1171</v>
      </c>
      <c r="F142" s="11"/>
      <c r="G142" s="11"/>
      <c r="H142" s="11"/>
      <c r="W142" s="4" t="s">
        <v>1172</v>
      </c>
    </row>
    <row r="143">
      <c r="A143" s="3" t="s">
        <v>1173</v>
      </c>
      <c r="B143" s="4" t="s">
        <v>246</v>
      </c>
      <c r="C143" s="4" t="s">
        <v>443</v>
      </c>
      <c r="D143" s="4" t="s">
        <v>1131</v>
      </c>
      <c r="E143" s="4" t="s">
        <v>1132</v>
      </c>
      <c r="F143" s="3" t="s">
        <v>974</v>
      </c>
      <c r="G143" s="3" t="s">
        <v>155</v>
      </c>
      <c r="H143" s="11"/>
      <c r="I143" s="4" t="s">
        <v>19</v>
      </c>
      <c r="J143" s="4" t="s">
        <v>20</v>
      </c>
      <c r="L143" s="22" t="s">
        <v>1174</v>
      </c>
      <c r="V143" s="4" t="s">
        <v>1093</v>
      </c>
    </row>
    <row r="144">
      <c r="A144" s="3" t="s">
        <v>1175</v>
      </c>
      <c r="B144" s="4" t="s">
        <v>246</v>
      </c>
      <c r="C144" s="4" t="s">
        <v>446</v>
      </c>
      <c r="D144" s="4" t="s">
        <v>1176</v>
      </c>
      <c r="E144" s="4" t="s">
        <v>1177</v>
      </c>
      <c r="F144" s="3" t="s">
        <v>1018</v>
      </c>
      <c r="G144" s="3" t="s">
        <v>1135</v>
      </c>
      <c r="H144" s="11"/>
      <c r="I144" s="4" t="s">
        <v>100</v>
      </c>
      <c r="J144" s="4" t="s">
        <v>20</v>
      </c>
      <c r="L144" s="22" t="s">
        <v>1178</v>
      </c>
      <c r="V144" s="4" t="s">
        <v>1093</v>
      </c>
    </row>
    <row r="145">
      <c r="A145" s="3" t="s">
        <v>1179</v>
      </c>
      <c r="B145" s="4" t="s">
        <v>246</v>
      </c>
      <c r="C145" s="4" t="s">
        <v>449</v>
      </c>
      <c r="D145" s="4" t="s">
        <v>252</v>
      </c>
      <c r="E145" s="4" t="s">
        <v>1180</v>
      </c>
      <c r="F145" s="3" t="s">
        <v>1018</v>
      </c>
      <c r="G145" s="3" t="s">
        <v>1181</v>
      </c>
      <c r="H145" s="11"/>
      <c r="I145" s="4" t="s">
        <v>78</v>
      </c>
      <c r="J145" s="4" t="s">
        <v>20</v>
      </c>
      <c r="L145" s="22" t="s">
        <v>1182</v>
      </c>
      <c r="V145" s="4" t="s">
        <v>1093</v>
      </c>
    </row>
    <row r="146">
      <c r="A146" s="3" t="s">
        <v>1183</v>
      </c>
      <c r="B146" s="4" t="s">
        <v>246</v>
      </c>
      <c r="C146" s="4" t="s">
        <v>452</v>
      </c>
      <c r="D146" s="4" t="s">
        <v>1141</v>
      </c>
      <c r="E146" s="4" t="s">
        <v>1142</v>
      </c>
      <c r="F146" s="3" t="s">
        <v>1078</v>
      </c>
      <c r="G146" s="3" t="s">
        <v>267</v>
      </c>
      <c r="H146" s="11"/>
      <c r="I146" s="4" t="s">
        <v>60</v>
      </c>
      <c r="L146" s="4" t="s">
        <v>1184</v>
      </c>
      <c r="V146" s="4" t="s">
        <v>1093</v>
      </c>
    </row>
    <row r="147">
      <c r="A147" s="3" t="s">
        <v>1185</v>
      </c>
      <c r="B147" s="4" t="s">
        <v>246</v>
      </c>
      <c r="C147" s="4" t="s">
        <v>455</v>
      </c>
      <c r="D147" s="4" t="s">
        <v>1186</v>
      </c>
      <c r="E147" s="4" t="s">
        <v>1187</v>
      </c>
      <c r="F147" s="3" t="s">
        <v>1078</v>
      </c>
      <c r="G147" s="3" t="s">
        <v>267</v>
      </c>
      <c r="H147" s="11"/>
      <c r="I147" s="4" t="s">
        <v>60</v>
      </c>
      <c r="L147" s="22" t="s">
        <v>1188</v>
      </c>
      <c r="V147" s="4" t="s">
        <v>1093</v>
      </c>
      <c r="W147" s="4" t="s">
        <v>215</v>
      </c>
    </row>
    <row r="148">
      <c r="A148" s="3" t="s">
        <v>1189</v>
      </c>
      <c r="B148" s="4" t="s">
        <v>246</v>
      </c>
      <c r="C148" s="4" t="s">
        <v>459</v>
      </c>
      <c r="D148" s="4" t="s">
        <v>1190</v>
      </c>
      <c r="E148" s="4" t="s">
        <v>1191</v>
      </c>
      <c r="F148" s="3" t="s">
        <v>741</v>
      </c>
      <c r="G148" s="3" t="s">
        <v>267</v>
      </c>
      <c r="H148" s="11"/>
      <c r="I148" s="4" t="s">
        <v>19</v>
      </c>
      <c r="J148" s="4" t="s">
        <v>20</v>
      </c>
      <c r="L148" s="22" t="s">
        <v>1192</v>
      </c>
      <c r="V148" s="4" t="s">
        <v>1093</v>
      </c>
      <c r="W148" s="4" t="s">
        <v>215</v>
      </c>
    </row>
    <row r="149">
      <c r="A149" s="3" t="s">
        <v>1193</v>
      </c>
      <c r="B149" s="4" t="s">
        <v>246</v>
      </c>
      <c r="C149" s="4" t="s">
        <v>462</v>
      </c>
      <c r="D149" s="4" t="s">
        <v>1194</v>
      </c>
      <c r="E149" s="4" t="s">
        <v>1195</v>
      </c>
      <c r="F149" s="3" t="s">
        <v>1153</v>
      </c>
      <c r="G149" s="3" t="s">
        <v>351</v>
      </c>
      <c r="H149" s="11"/>
      <c r="I149" s="4" t="s">
        <v>100</v>
      </c>
      <c r="J149" s="4" t="s">
        <v>20</v>
      </c>
      <c r="L149" s="22" t="s">
        <v>1196</v>
      </c>
      <c r="V149" s="4" t="s">
        <v>1093</v>
      </c>
    </row>
    <row r="150">
      <c r="A150" s="3" t="s">
        <v>1197</v>
      </c>
      <c r="B150" s="4" t="s">
        <v>246</v>
      </c>
      <c r="C150" s="4" t="s">
        <v>465</v>
      </c>
      <c r="D150" s="4" t="s">
        <v>1194</v>
      </c>
      <c r="E150" s="4" t="s">
        <v>1195</v>
      </c>
      <c r="F150" s="3" t="s">
        <v>1018</v>
      </c>
      <c r="G150" s="3" t="s">
        <v>341</v>
      </c>
      <c r="H150" s="11"/>
      <c r="I150" s="4" t="s">
        <v>1145</v>
      </c>
      <c r="J150" s="4" t="s">
        <v>254</v>
      </c>
      <c r="L150" s="22" t="s">
        <v>1198</v>
      </c>
      <c r="V150" s="4" t="s">
        <v>1093</v>
      </c>
    </row>
    <row r="151">
      <c r="A151" s="3" t="s">
        <v>1199</v>
      </c>
      <c r="B151" s="4" t="s">
        <v>246</v>
      </c>
      <c r="C151" s="4" t="s">
        <v>468</v>
      </c>
      <c r="D151" s="4" t="s">
        <v>1194</v>
      </c>
      <c r="E151" s="4" t="s">
        <v>1195</v>
      </c>
      <c r="F151" s="3" t="s">
        <v>1018</v>
      </c>
      <c r="G151" s="3" t="s">
        <v>1002</v>
      </c>
      <c r="H151" s="11"/>
      <c r="I151" s="4" t="s">
        <v>1145</v>
      </c>
      <c r="J151" s="4" t="s">
        <v>20</v>
      </c>
      <c r="L151" s="22" t="s">
        <v>1200</v>
      </c>
      <c r="V151" s="4" t="s">
        <v>1093</v>
      </c>
    </row>
    <row r="152">
      <c r="A152" s="3" t="s">
        <v>1201</v>
      </c>
      <c r="B152" s="4" t="s">
        <v>246</v>
      </c>
      <c r="C152" s="4" t="s">
        <v>471</v>
      </c>
      <c r="D152" s="4" t="s">
        <v>1131</v>
      </c>
      <c r="E152" s="18" t="s">
        <v>1132</v>
      </c>
      <c r="F152" s="3" t="s">
        <v>752</v>
      </c>
      <c r="G152" s="3" t="s">
        <v>267</v>
      </c>
      <c r="H152" s="11"/>
      <c r="I152" s="4" t="s">
        <v>78</v>
      </c>
      <c r="L152" s="22" t="s">
        <v>1202</v>
      </c>
      <c r="V152" s="4" t="s">
        <v>1093</v>
      </c>
    </row>
    <row r="153">
      <c r="A153" s="3" t="s">
        <v>1203</v>
      </c>
      <c r="F153" s="11"/>
      <c r="G153" s="11"/>
      <c r="H153" s="11"/>
      <c r="L153" s="4" t="s">
        <v>1204</v>
      </c>
    </row>
    <row r="154">
      <c r="A154" s="3" t="s">
        <v>1205</v>
      </c>
      <c r="F154" s="11"/>
      <c r="G154" s="11"/>
      <c r="H154" s="11"/>
      <c r="W154" s="4" t="s">
        <v>80</v>
      </c>
    </row>
    <row r="155">
      <c r="A155" s="3" t="s">
        <v>1206</v>
      </c>
      <c r="W155" s="4" t="s">
        <v>1207</v>
      </c>
    </row>
    <row r="156">
      <c r="A156" s="3" t="s">
        <v>1208</v>
      </c>
      <c r="B156" s="4" t="s">
        <v>1209</v>
      </c>
      <c r="C156" s="4" t="s">
        <v>14</v>
      </c>
      <c r="D156" s="4" t="s">
        <v>1210</v>
      </c>
      <c r="E156" s="4" t="s">
        <v>713</v>
      </c>
      <c r="F156" s="3" t="s">
        <v>1211</v>
      </c>
      <c r="G156" s="3" t="s">
        <v>966</v>
      </c>
      <c r="H156" s="11"/>
      <c r="I156" s="4" t="s">
        <v>19</v>
      </c>
      <c r="J156" s="4" t="s">
        <v>20</v>
      </c>
      <c r="L156" s="22" t="s">
        <v>1212</v>
      </c>
      <c r="V156" s="4" t="s">
        <v>1093</v>
      </c>
    </row>
    <row r="157">
      <c r="A157" s="3" t="s">
        <v>1213</v>
      </c>
      <c r="B157" s="4" t="s">
        <v>1209</v>
      </c>
      <c r="C157" s="4" t="s">
        <v>23</v>
      </c>
      <c r="D157" s="4" t="s">
        <v>1214</v>
      </c>
      <c r="E157" s="4" t="s">
        <v>48</v>
      </c>
      <c r="F157" s="3" t="s">
        <v>1215</v>
      </c>
      <c r="G157" s="3" t="s">
        <v>166</v>
      </c>
      <c r="H157" s="11"/>
      <c r="I157" s="4" t="s">
        <v>100</v>
      </c>
      <c r="J157" s="4" t="s">
        <v>20</v>
      </c>
      <c r="L157" s="22" t="s">
        <v>1216</v>
      </c>
      <c r="V157" s="4" t="s">
        <v>1093</v>
      </c>
    </row>
    <row r="158">
      <c r="A158" s="3" t="s">
        <v>1217</v>
      </c>
      <c r="B158" s="4" t="s">
        <v>1209</v>
      </c>
      <c r="C158" s="4" t="s">
        <v>28</v>
      </c>
      <c r="D158" s="4" t="s">
        <v>1210</v>
      </c>
      <c r="E158" s="4" t="s">
        <v>713</v>
      </c>
      <c r="F158" s="3" t="s">
        <v>752</v>
      </c>
      <c r="G158" s="3" t="s">
        <v>351</v>
      </c>
      <c r="H158" s="11"/>
      <c r="I158" s="4" t="s">
        <v>19</v>
      </c>
      <c r="L158" s="22" t="s">
        <v>1218</v>
      </c>
      <c r="V158" s="4" t="s">
        <v>1219</v>
      </c>
      <c r="W158" s="4" t="s">
        <v>1220</v>
      </c>
    </row>
    <row r="159">
      <c r="A159" s="3" t="s">
        <v>1221</v>
      </c>
      <c r="B159" s="4" t="s">
        <v>1209</v>
      </c>
      <c r="C159" s="4" t="s">
        <v>33</v>
      </c>
      <c r="D159" s="4" t="s">
        <v>1222</v>
      </c>
      <c r="E159" s="4" t="s">
        <v>389</v>
      </c>
      <c r="F159" s="3" t="s">
        <v>1102</v>
      </c>
      <c r="G159" s="3" t="s">
        <v>351</v>
      </c>
      <c r="H159" s="11"/>
      <c r="I159" s="4" t="s">
        <v>19</v>
      </c>
      <c r="J159" s="4" t="s">
        <v>20</v>
      </c>
      <c r="L159" s="22" t="s">
        <v>1223</v>
      </c>
      <c r="V159" s="4" t="s">
        <v>1219</v>
      </c>
    </row>
    <row r="160">
      <c r="A160" s="3" t="s">
        <v>1224</v>
      </c>
      <c r="B160" s="4" t="s">
        <v>1209</v>
      </c>
      <c r="C160" s="4" t="s">
        <v>41</v>
      </c>
      <c r="D160" s="4" t="s">
        <v>1225</v>
      </c>
      <c r="E160" s="4" t="s">
        <v>1226</v>
      </c>
      <c r="F160" s="3" t="s">
        <v>1227</v>
      </c>
      <c r="G160" s="3" t="s">
        <v>351</v>
      </c>
      <c r="H160" s="11"/>
      <c r="I160" s="4" t="s">
        <v>100</v>
      </c>
      <c r="J160" s="4" t="s">
        <v>254</v>
      </c>
      <c r="L160" s="22" t="s">
        <v>1228</v>
      </c>
      <c r="V160" s="4" t="s">
        <v>1219</v>
      </c>
    </row>
    <row r="161">
      <c r="A161" s="3" t="s">
        <v>1229</v>
      </c>
      <c r="B161" s="4" t="s">
        <v>1209</v>
      </c>
      <c r="C161" s="4" t="s">
        <v>46</v>
      </c>
      <c r="D161" s="4" t="s">
        <v>1222</v>
      </c>
      <c r="E161" s="4" t="s">
        <v>389</v>
      </c>
      <c r="F161" s="3" t="s">
        <v>1102</v>
      </c>
      <c r="G161" s="3" t="s">
        <v>351</v>
      </c>
      <c r="H161" s="11"/>
      <c r="I161" s="4" t="s">
        <v>78</v>
      </c>
      <c r="J161" s="4" t="s">
        <v>20</v>
      </c>
      <c r="L161" s="22" t="s">
        <v>1230</v>
      </c>
      <c r="V161" s="4" t="s">
        <v>1219</v>
      </c>
    </row>
    <row r="162">
      <c r="A162" s="3" t="s">
        <v>1231</v>
      </c>
      <c r="B162" s="4" t="s">
        <v>1209</v>
      </c>
      <c r="C162" s="4" t="s">
        <v>51</v>
      </c>
      <c r="D162" s="4" t="s">
        <v>1222</v>
      </c>
      <c r="E162" s="4" t="s">
        <v>389</v>
      </c>
      <c r="F162" s="3" t="s">
        <v>1102</v>
      </c>
      <c r="G162" s="3" t="s">
        <v>351</v>
      </c>
      <c r="H162" s="11"/>
      <c r="I162" s="4" t="s">
        <v>1145</v>
      </c>
      <c r="J162" s="4" t="s">
        <v>20</v>
      </c>
      <c r="L162" s="22" t="s">
        <v>1232</v>
      </c>
      <c r="V162" s="4" t="s">
        <v>1219</v>
      </c>
    </row>
    <row r="163">
      <c r="A163" s="3" t="s">
        <v>1233</v>
      </c>
      <c r="B163" s="4" t="s">
        <v>1209</v>
      </c>
      <c r="C163" s="4" t="s">
        <v>58</v>
      </c>
      <c r="D163" s="4" t="s">
        <v>1210</v>
      </c>
      <c r="E163" s="4" t="s">
        <v>713</v>
      </c>
      <c r="F163" s="3" t="s">
        <v>1234</v>
      </c>
      <c r="G163" s="3" t="s">
        <v>506</v>
      </c>
      <c r="H163" s="11"/>
      <c r="I163" s="4" t="s">
        <v>19</v>
      </c>
      <c r="L163" s="21" t="s">
        <v>1235</v>
      </c>
      <c r="V163" s="4" t="s">
        <v>1219</v>
      </c>
      <c r="W163" s="4" t="s">
        <v>80</v>
      </c>
    </row>
    <row r="164">
      <c r="A164" s="3" t="s">
        <v>1236</v>
      </c>
      <c r="B164" s="4" t="s">
        <v>1209</v>
      </c>
      <c r="C164" s="4" t="s">
        <v>63</v>
      </c>
      <c r="D164" s="4" t="s">
        <v>1237</v>
      </c>
      <c r="E164" s="4" t="s">
        <v>1238</v>
      </c>
      <c r="F164" s="3" t="s">
        <v>714</v>
      </c>
      <c r="G164" s="3" t="s">
        <v>552</v>
      </c>
      <c r="H164" s="11"/>
      <c r="I164" s="4" t="s">
        <v>100</v>
      </c>
      <c r="L164" s="22" t="s">
        <v>1239</v>
      </c>
      <c r="V164" s="4" t="s">
        <v>1219</v>
      </c>
    </row>
    <row r="165">
      <c r="A165" s="3" t="s">
        <v>1240</v>
      </c>
      <c r="B165" s="4" t="s">
        <v>1209</v>
      </c>
      <c r="C165" s="4" t="s">
        <v>66</v>
      </c>
      <c r="D165" s="4" t="s">
        <v>1241</v>
      </c>
      <c r="E165" s="4" t="s">
        <v>1242</v>
      </c>
      <c r="F165" s="3" t="s">
        <v>752</v>
      </c>
      <c r="G165" s="3" t="s">
        <v>506</v>
      </c>
      <c r="H165" s="11"/>
      <c r="I165" s="4" t="s">
        <v>19</v>
      </c>
      <c r="L165" s="22" t="s">
        <v>1243</v>
      </c>
      <c r="V165" s="4" t="s">
        <v>1219</v>
      </c>
    </row>
    <row r="166">
      <c r="A166" s="3" t="s">
        <v>1244</v>
      </c>
      <c r="B166" s="4" t="s">
        <v>1209</v>
      </c>
      <c r="C166" s="4" t="s">
        <v>70</v>
      </c>
      <c r="D166" s="4" t="s">
        <v>1222</v>
      </c>
      <c r="E166" s="4" t="s">
        <v>389</v>
      </c>
      <c r="F166" s="3" t="s">
        <v>1078</v>
      </c>
      <c r="G166" s="3" t="s">
        <v>36</v>
      </c>
      <c r="H166" s="3" t="s">
        <v>228</v>
      </c>
      <c r="I166" s="4" t="s">
        <v>100</v>
      </c>
      <c r="L166" s="22" t="s">
        <v>1245</v>
      </c>
      <c r="V166" s="4" t="s">
        <v>1219</v>
      </c>
    </row>
    <row r="167">
      <c r="A167" s="3" t="s">
        <v>1246</v>
      </c>
      <c r="B167" s="4" t="s">
        <v>1209</v>
      </c>
      <c r="C167" s="4" t="s">
        <v>73</v>
      </c>
      <c r="D167" s="4" t="s">
        <v>1222</v>
      </c>
      <c r="E167" s="4" t="s">
        <v>389</v>
      </c>
      <c r="F167" s="3" t="s">
        <v>1078</v>
      </c>
      <c r="G167" s="3" t="s">
        <v>36</v>
      </c>
      <c r="H167" s="3" t="s">
        <v>228</v>
      </c>
      <c r="I167" s="4" t="s">
        <v>78</v>
      </c>
      <c r="L167" s="22" t="s">
        <v>1247</v>
      </c>
      <c r="V167" s="4" t="s">
        <v>1219</v>
      </c>
    </row>
    <row r="168">
      <c r="A168" s="3" t="s">
        <v>1248</v>
      </c>
      <c r="B168" s="4" t="s">
        <v>1209</v>
      </c>
      <c r="C168" s="4" t="s">
        <v>77</v>
      </c>
      <c r="D168" s="4" t="s">
        <v>1222</v>
      </c>
      <c r="E168" s="4" t="s">
        <v>389</v>
      </c>
      <c r="F168" s="3" t="s">
        <v>1078</v>
      </c>
      <c r="G168" s="3" t="s">
        <v>506</v>
      </c>
      <c r="H168" s="3" t="s">
        <v>228</v>
      </c>
      <c r="I168" s="4" t="s">
        <v>1145</v>
      </c>
      <c r="L168" s="22" t="s">
        <v>1249</v>
      </c>
      <c r="V168" s="4" t="s">
        <v>1219</v>
      </c>
    </row>
    <row r="169">
      <c r="A169" s="3" t="s">
        <v>1250</v>
      </c>
      <c r="B169" s="4" t="s">
        <v>1209</v>
      </c>
      <c r="C169" s="4" t="s">
        <v>82</v>
      </c>
      <c r="D169" s="4" t="s">
        <v>1222</v>
      </c>
      <c r="E169" s="4" t="s">
        <v>389</v>
      </c>
      <c r="F169" s="3" t="s">
        <v>758</v>
      </c>
      <c r="G169" s="3" t="s">
        <v>506</v>
      </c>
      <c r="H169" s="3" t="s">
        <v>228</v>
      </c>
      <c r="I169" s="4" t="s">
        <v>782</v>
      </c>
      <c r="L169" s="22" t="s">
        <v>1251</v>
      </c>
      <c r="V169" s="4" t="s">
        <v>1219</v>
      </c>
    </row>
    <row r="170">
      <c r="A170" s="3" t="s">
        <v>1252</v>
      </c>
      <c r="B170" s="4" t="s">
        <v>1209</v>
      </c>
      <c r="C170" s="4" t="s">
        <v>85</v>
      </c>
      <c r="D170" s="4" t="s">
        <v>1222</v>
      </c>
      <c r="E170" s="4" t="s">
        <v>389</v>
      </c>
      <c r="F170" s="3" t="s">
        <v>758</v>
      </c>
      <c r="G170" s="3" t="s">
        <v>506</v>
      </c>
      <c r="H170" s="3" t="s">
        <v>228</v>
      </c>
      <c r="I170" s="4" t="s">
        <v>793</v>
      </c>
      <c r="L170" s="22" t="s">
        <v>1253</v>
      </c>
      <c r="V170" s="4" t="s">
        <v>1219</v>
      </c>
    </row>
    <row r="171">
      <c r="A171" s="3" t="s">
        <v>1254</v>
      </c>
      <c r="B171" s="4" t="s">
        <v>1209</v>
      </c>
      <c r="C171" s="4" t="s">
        <v>90</v>
      </c>
      <c r="D171" s="4" t="s">
        <v>1222</v>
      </c>
      <c r="E171" s="4" t="s">
        <v>389</v>
      </c>
      <c r="F171" s="3" t="s">
        <v>1078</v>
      </c>
      <c r="G171" s="3" t="s">
        <v>506</v>
      </c>
      <c r="H171" s="3" t="s">
        <v>228</v>
      </c>
      <c r="I171" s="4" t="s">
        <v>796</v>
      </c>
      <c r="L171" s="2" t="s">
        <v>1255</v>
      </c>
      <c r="V171" s="4" t="s">
        <v>1219</v>
      </c>
    </row>
    <row r="172">
      <c r="A172" s="3" t="s">
        <v>1256</v>
      </c>
      <c r="B172" s="4" t="s">
        <v>1209</v>
      </c>
      <c r="C172" s="4" t="s">
        <v>93</v>
      </c>
      <c r="D172" s="4" t="s">
        <v>1222</v>
      </c>
      <c r="E172" s="4" t="s">
        <v>389</v>
      </c>
      <c r="F172" s="3" t="s">
        <v>1078</v>
      </c>
      <c r="G172" s="3" t="s">
        <v>36</v>
      </c>
      <c r="H172" s="3" t="s">
        <v>228</v>
      </c>
      <c r="I172" s="4" t="s">
        <v>799</v>
      </c>
      <c r="L172" s="22" t="s">
        <v>1257</v>
      </c>
      <c r="V172" s="4" t="s">
        <v>1219</v>
      </c>
      <c r="W172" s="4" t="s">
        <v>215</v>
      </c>
    </row>
    <row r="173">
      <c r="A173" s="3" t="s">
        <v>1258</v>
      </c>
      <c r="B173" s="4" t="s">
        <v>1209</v>
      </c>
      <c r="C173" s="4" t="s">
        <v>98</v>
      </c>
      <c r="D173" s="4" t="s">
        <v>1259</v>
      </c>
      <c r="E173" s="4" t="s">
        <v>1260</v>
      </c>
      <c r="F173" s="3" t="s">
        <v>758</v>
      </c>
      <c r="G173" s="3" t="s">
        <v>506</v>
      </c>
      <c r="H173" s="11"/>
      <c r="I173" s="4" t="s">
        <v>100</v>
      </c>
      <c r="L173" s="22" t="s">
        <v>1261</v>
      </c>
      <c r="V173" s="4" t="s">
        <v>1219</v>
      </c>
    </row>
    <row r="174">
      <c r="A174" s="3" t="s">
        <v>1262</v>
      </c>
      <c r="B174" s="4" t="s">
        <v>1209</v>
      </c>
      <c r="C174" s="4" t="s">
        <v>103</v>
      </c>
      <c r="D174" s="4" t="s">
        <v>1259</v>
      </c>
      <c r="E174" s="4" t="s">
        <v>1260</v>
      </c>
      <c r="F174" s="3" t="s">
        <v>1078</v>
      </c>
      <c r="G174" s="3" t="s">
        <v>506</v>
      </c>
      <c r="H174" s="11"/>
      <c r="I174" s="4" t="s">
        <v>67</v>
      </c>
      <c r="L174" s="22" t="s">
        <v>1263</v>
      </c>
      <c r="V174" s="4" t="s">
        <v>1219</v>
      </c>
    </row>
    <row r="175">
      <c r="A175" s="3" t="s">
        <v>1264</v>
      </c>
      <c r="B175" s="4" t="s">
        <v>1209</v>
      </c>
      <c r="C175" s="4" t="s">
        <v>106</v>
      </c>
      <c r="D175" s="4" t="s">
        <v>1265</v>
      </c>
      <c r="E175" s="4" t="s">
        <v>1266</v>
      </c>
      <c r="F175" s="3" t="s">
        <v>714</v>
      </c>
      <c r="G175" s="3" t="s">
        <v>552</v>
      </c>
      <c r="H175" s="3" t="s">
        <v>95</v>
      </c>
      <c r="I175" s="4" t="s">
        <v>19</v>
      </c>
      <c r="L175" s="22" t="s">
        <v>1267</v>
      </c>
      <c r="V175" s="4" t="s">
        <v>1219</v>
      </c>
    </row>
    <row r="176">
      <c r="A176" s="3" t="s">
        <v>1268</v>
      </c>
      <c r="B176" s="4" t="s">
        <v>1209</v>
      </c>
      <c r="C176" s="4" t="s">
        <v>110</v>
      </c>
      <c r="D176" s="4" t="s">
        <v>1265</v>
      </c>
      <c r="E176" s="4" t="s">
        <v>1266</v>
      </c>
      <c r="F176" s="3" t="s">
        <v>714</v>
      </c>
      <c r="G176" s="3" t="s">
        <v>552</v>
      </c>
      <c r="H176" s="3" t="s">
        <v>95</v>
      </c>
      <c r="I176" s="4" t="s">
        <v>78</v>
      </c>
      <c r="L176" s="21" t="s">
        <v>1269</v>
      </c>
      <c r="V176" s="4" t="s">
        <v>1219</v>
      </c>
    </row>
    <row r="177">
      <c r="A177" s="3" t="s">
        <v>1270</v>
      </c>
      <c r="B177" s="4" t="s">
        <v>1209</v>
      </c>
      <c r="C177" s="4" t="s">
        <v>113</v>
      </c>
      <c r="D177" s="4" t="s">
        <v>1222</v>
      </c>
      <c r="E177" s="4" t="s">
        <v>389</v>
      </c>
      <c r="F177" s="3" t="s">
        <v>1271</v>
      </c>
      <c r="G177" s="3" t="s">
        <v>351</v>
      </c>
      <c r="H177" s="3" t="s">
        <v>228</v>
      </c>
      <c r="I177" s="4" t="s">
        <v>100</v>
      </c>
      <c r="J177" s="4" t="s">
        <v>20</v>
      </c>
      <c r="L177" s="22" t="s">
        <v>1272</v>
      </c>
      <c r="V177" s="4" t="s">
        <v>1219</v>
      </c>
    </row>
    <row r="178">
      <c r="A178" s="3" t="s">
        <v>1273</v>
      </c>
      <c r="B178" s="4" t="s">
        <v>1209</v>
      </c>
      <c r="C178" s="4" t="s">
        <v>117</v>
      </c>
      <c r="D178" s="4" t="s">
        <v>1222</v>
      </c>
      <c r="E178" s="4" t="s">
        <v>389</v>
      </c>
      <c r="F178" s="3" t="s">
        <v>1023</v>
      </c>
      <c r="G178" s="3" t="s">
        <v>351</v>
      </c>
      <c r="H178" s="3" t="s">
        <v>228</v>
      </c>
      <c r="I178" s="4" t="s">
        <v>1145</v>
      </c>
      <c r="J178" s="4" t="s">
        <v>20</v>
      </c>
      <c r="L178" s="22" t="s">
        <v>1274</v>
      </c>
      <c r="V178" s="4" t="s">
        <v>1219</v>
      </c>
    </row>
    <row r="179">
      <c r="A179" s="3" t="s">
        <v>1275</v>
      </c>
      <c r="B179" s="4" t="s">
        <v>1209</v>
      </c>
      <c r="C179" s="4" t="s">
        <v>120</v>
      </c>
      <c r="D179" s="4" t="s">
        <v>1222</v>
      </c>
      <c r="E179" s="4" t="s">
        <v>389</v>
      </c>
      <c r="F179" s="3" t="s">
        <v>1276</v>
      </c>
      <c r="G179" s="3" t="s">
        <v>74</v>
      </c>
      <c r="H179" s="3" t="s">
        <v>228</v>
      </c>
      <c r="I179" s="4" t="s">
        <v>67</v>
      </c>
      <c r="J179" s="4" t="s">
        <v>20</v>
      </c>
      <c r="L179" s="22" t="s">
        <v>1277</v>
      </c>
      <c r="V179" s="4" t="s">
        <v>1219</v>
      </c>
    </row>
    <row r="180">
      <c r="A180" s="3" t="s">
        <v>1278</v>
      </c>
      <c r="B180" s="4" t="s">
        <v>1209</v>
      </c>
      <c r="C180" s="4" t="s">
        <v>125</v>
      </c>
      <c r="D180" s="4" t="s">
        <v>1279</v>
      </c>
      <c r="E180" s="4" t="s">
        <v>1280</v>
      </c>
      <c r="F180" s="3" t="s">
        <v>758</v>
      </c>
      <c r="G180" s="3" t="s">
        <v>36</v>
      </c>
      <c r="H180" s="11"/>
      <c r="I180" s="4" t="s">
        <v>19</v>
      </c>
      <c r="L180" s="22" t="s">
        <v>1281</v>
      </c>
      <c r="V180" s="4" t="s">
        <v>1219</v>
      </c>
    </row>
    <row r="181">
      <c r="A181" s="3" t="s">
        <v>1282</v>
      </c>
      <c r="B181" s="4" t="s">
        <v>1209</v>
      </c>
      <c r="C181" s="4" t="s">
        <v>129</v>
      </c>
      <c r="D181" s="4" t="s">
        <v>1283</v>
      </c>
      <c r="E181" s="4" t="s">
        <v>1284</v>
      </c>
      <c r="F181" s="3" t="s">
        <v>1227</v>
      </c>
      <c r="G181" s="3" t="s">
        <v>74</v>
      </c>
      <c r="H181" s="3" t="s">
        <v>1285</v>
      </c>
      <c r="I181" s="4" t="s">
        <v>100</v>
      </c>
      <c r="J181" s="4" t="s">
        <v>20</v>
      </c>
      <c r="L181" s="21" t="s">
        <v>1286</v>
      </c>
      <c r="V181" s="4" t="s">
        <v>1219</v>
      </c>
    </row>
    <row r="182">
      <c r="A182" s="25" t="s">
        <v>1287</v>
      </c>
      <c r="B182" s="4" t="s">
        <v>1209</v>
      </c>
      <c r="C182" s="4" t="s">
        <v>133</v>
      </c>
      <c r="D182" s="4" t="s">
        <v>1283</v>
      </c>
      <c r="E182" s="4" t="s">
        <v>1284</v>
      </c>
      <c r="F182" s="3" t="s">
        <v>1227</v>
      </c>
      <c r="G182" s="3" t="s">
        <v>74</v>
      </c>
      <c r="H182" s="3" t="s">
        <v>1285</v>
      </c>
      <c r="I182" s="4" t="s">
        <v>78</v>
      </c>
      <c r="J182" s="4" t="s">
        <v>20</v>
      </c>
      <c r="L182" s="22" t="s">
        <v>1288</v>
      </c>
      <c r="V182" s="4" t="s">
        <v>1219</v>
      </c>
    </row>
    <row r="183">
      <c r="A183" s="3" t="s">
        <v>1289</v>
      </c>
      <c r="B183" s="4" t="s">
        <v>1209</v>
      </c>
      <c r="C183" s="4" t="s">
        <v>137</v>
      </c>
      <c r="D183" s="4" t="s">
        <v>1283</v>
      </c>
      <c r="E183" s="4" t="s">
        <v>1284</v>
      </c>
      <c r="F183" s="3" t="s">
        <v>1018</v>
      </c>
      <c r="G183" s="3" t="s">
        <v>74</v>
      </c>
      <c r="H183" s="3" t="s">
        <v>1285</v>
      </c>
      <c r="I183" s="4" t="s">
        <v>1145</v>
      </c>
      <c r="J183" s="4" t="s">
        <v>20</v>
      </c>
      <c r="L183" s="22" t="s">
        <v>1290</v>
      </c>
      <c r="V183" s="4" t="s">
        <v>1219</v>
      </c>
    </row>
    <row r="184">
      <c r="A184" s="3" t="s">
        <v>1291</v>
      </c>
      <c r="B184" s="4" t="s">
        <v>1209</v>
      </c>
      <c r="C184" s="4" t="s">
        <v>140</v>
      </c>
      <c r="D184" s="4" t="s">
        <v>1283</v>
      </c>
      <c r="E184" s="4" t="s">
        <v>1284</v>
      </c>
      <c r="F184" s="3" t="s">
        <v>940</v>
      </c>
      <c r="G184" s="3" t="s">
        <v>94</v>
      </c>
      <c r="H184" s="3" t="s">
        <v>232</v>
      </c>
      <c r="I184" s="4" t="s">
        <v>19</v>
      </c>
      <c r="J184" s="4" t="s">
        <v>20</v>
      </c>
      <c r="L184" s="22" t="s">
        <v>1292</v>
      </c>
      <c r="V184" s="4" t="s">
        <v>1219</v>
      </c>
    </row>
    <row r="185">
      <c r="A185" s="26" t="s">
        <v>1293</v>
      </c>
      <c r="L185" s="4" t="s">
        <v>1294</v>
      </c>
      <c r="W185" s="4" t="s">
        <v>80</v>
      </c>
    </row>
    <row r="186">
      <c r="A186" s="3" t="s">
        <v>1295</v>
      </c>
      <c r="B186" s="4" t="s">
        <v>1209</v>
      </c>
      <c r="C186" s="4" t="s">
        <v>146</v>
      </c>
      <c r="D186" s="4" t="s">
        <v>1296</v>
      </c>
      <c r="E186" s="4" t="s">
        <v>1297</v>
      </c>
      <c r="F186" s="3" t="s">
        <v>1153</v>
      </c>
      <c r="G186" s="3" t="s">
        <v>94</v>
      </c>
      <c r="H186" s="3" t="s">
        <v>232</v>
      </c>
      <c r="I186" s="4" t="s">
        <v>100</v>
      </c>
      <c r="J186" s="4" t="s">
        <v>20</v>
      </c>
      <c r="L186" s="4" t="s">
        <v>1298</v>
      </c>
      <c r="V186" s="4" t="s">
        <v>1219</v>
      </c>
    </row>
    <row r="187">
      <c r="A187" s="3" t="s">
        <v>1299</v>
      </c>
      <c r="B187" s="4" t="s">
        <v>1209</v>
      </c>
      <c r="C187" s="4" t="s">
        <v>150</v>
      </c>
      <c r="D187" s="4" t="s">
        <v>1222</v>
      </c>
      <c r="E187" s="4" t="s">
        <v>389</v>
      </c>
      <c r="F187" s="3" t="s">
        <v>1023</v>
      </c>
      <c r="G187" s="3" t="s">
        <v>1300</v>
      </c>
      <c r="H187" s="11"/>
      <c r="I187" s="4" t="s">
        <v>19</v>
      </c>
      <c r="J187" s="4" t="s">
        <v>254</v>
      </c>
      <c r="L187" s="21" t="s">
        <v>1301</v>
      </c>
      <c r="V187" s="4" t="s">
        <v>1219</v>
      </c>
    </row>
    <row r="188">
      <c r="A188" s="3" t="s">
        <v>1302</v>
      </c>
      <c r="B188" s="4" t="s">
        <v>1209</v>
      </c>
      <c r="C188" s="4" t="s">
        <v>154</v>
      </c>
      <c r="D188" s="4" t="s">
        <v>1222</v>
      </c>
      <c r="E188" s="4" t="s">
        <v>389</v>
      </c>
      <c r="F188" s="3" t="s">
        <v>1215</v>
      </c>
      <c r="G188" s="3" t="s">
        <v>1303</v>
      </c>
      <c r="H188" s="11"/>
      <c r="I188" s="4" t="s">
        <v>100</v>
      </c>
      <c r="J188" s="4" t="s">
        <v>20</v>
      </c>
      <c r="L188" s="27" t="s">
        <v>1304</v>
      </c>
      <c r="V188" s="4" t="s">
        <v>1219</v>
      </c>
    </row>
    <row r="189">
      <c r="A189" s="3" t="s">
        <v>1305</v>
      </c>
      <c r="B189" s="4" t="s">
        <v>1209</v>
      </c>
      <c r="C189" s="4" t="s">
        <v>159</v>
      </c>
      <c r="D189" s="4" t="s">
        <v>1222</v>
      </c>
      <c r="E189" s="4" t="s">
        <v>389</v>
      </c>
      <c r="F189" s="3" t="s">
        <v>1306</v>
      </c>
      <c r="G189" s="3" t="s">
        <v>1050</v>
      </c>
      <c r="H189" s="11"/>
      <c r="I189" s="4" t="s">
        <v>1145</v>
      </c>
      <c r="J189" s="4" t="s">
        <v>20</v>
      </c>
      <c r="L189" s="20" t="s">
        <v>1307</v>
      </c>
      <c r="V189" s="4" t="s">
        <v>1219</v>
      </c>
    </row>
    <row r="190">
      <c r="A190" s="3" t="s">
        <v>1308</v>
      </c>
      <c r="B190" s="4" t="s">
        <v>1209</v>
      </c>
      <c r="C190" s="4" t="s">
        <v>163</v>
      </c>
      <c r="D190" s="4" t="s">
        <v>1210</v>
      </c>
      <c r="E190" s="4" t="s">
        <v>713</v>
      </c>
      <c r="F190" s="3" t="s">
        <v>1102</v>
      </c>
      <c r="G190" s="3" t="s">
        <v>1050</v>
      </c>
      <c r="H190" s="11"/>
      <c r="I190" s="4" t="s">
        <v>19</v>
      </c>
      <c r="J190" s="4" t="s">
        <v>20</v>
      </c>
      <c r="L190" s="21" t="s">
        <v>1309</v>
      </c>
      <c r="V190" s="4" t="s">
        <v>1219</v>
      </c>
    </row>
    <row r="191">
      <c r="A191" s="3" t="s">
        <v>1310</v>
      </c>
      <c r="B191" s="4" t="s">
        <v>1209</v>
      </c>
      <c r="C191" s="4" t="s">
        <v>169</v>
      </c>
      <c r="D191" s="4" t="s">
        <v>1210</v>
      </c>
      <c r="E191" s="4" t="s">
        <v>713</v>
      </c>
      <c r="F191" s="3" t="s">
        <v>1078</v>
      </c>
      <c r="G191" s="3" t="s">
        <v>552</v>
      </c>
      <c r="H191" s="11"/>
      <c r="I191" s="4" t="s">
        <v>60</v>
      </c>
      <c r="L191" s="21" t="s">
        <v>1311</v>
      </c>
      <c r="V191" s="4" t="s">
        <v>1219</v>
      </c>
    </row>
    <row r="192">
      <c r="A192" s="3" t="s">
        <v>1312</v>
      </c>
      <c r="B192" s="4" t="s">
        <v>1209</v>
      </c>
      <c r="C192" s="4" t="s">
        <v>173</v>
      </c>
      <c r="D192" s="4" t="s">
        <v>1210</v>
      </c>
      <c r="E192" s="4" t="s">
        <v>713</v>
      </c>
      <c r="F192" s="3" t="s">
        <v>1078</v>
      </c>
      <c r="G192" s="3" t="s">
        <v>1313</v>
      </c>
      <c r="H192" s="11"/>
      <c r="I192" s="4" t="s">
        <v>1145</v>
      </c>
      <c r="L192" s="21" t="s">
        <v>1314</v>
      </c>
      <c r="V192" s="4" t="s">
        <v>1219</v>
      </c>
    </row>
    <row r="193">
      <c r="A193" s="3" t="s">
        <v>1315</v>
      </c>
      <c r="B193" s="4" t="s">
        <v>1209</v>
      </c>
      <c r="C193" s="4" t="s">
        <v>177</v>
      </c>
      <c r="D193" s="4" t="s">
        <v>1210</v>
      </c>
      <c r="E193" s="4" t="s">
        <v>713</v>
      </c>
      <c r="F193" s="3" t="s">
        <v>758</v>
      </c>
      <c r="G193" s="3" t="s">
        <v>1313</v>
      </c>
      <c r="H193" s="11"/>
      <c r="I193" s="4" t="s">
        <v>67</v>
      </c>
      <c r="L193" s="21" t="s">
        <v>1316</v>
      </c>
      <c r="V193" s="4" t="s">
        <v>1219</v>
      </c>
    </row>
    <row r="194">
      <c r="A194" s="3" t="s">
        <v>1317</v>
      </c>
      <c r="B194" s="4" t="s">
        <v>1209</v>
      </c>
      <c r="C194" s="4" t="s">
        <v>180</v>
      </c>
      <c r="D194" s="4" t="s">
        <v>1265</v>
      </c>
      <c r="E194" s="4" t="s">
        <v>1266</v>
      </c>
      <c r="F194" s="3" t="s">
        <v>789</v>
      </c>
      <c r="G194" s="3" t="s">
        <v>1050</v>
      </c>
      <c r="H194" s="11"/>
      <c r="I194" s="4" t="s">
        <v>100</v>
      </c>
      <c r="J194" s="4" t="s">
        <v>20</v>
      </c>
      <c r="L194" s="21" t="s">
        <v>1318</v>
      </c>
      <c r="V194" s="4" t="s">
        <v>1219</v>
      </c>
      <c r="W194" s="4" t="s">
        <v>80</v>
      </c>
    </row>
    <row r="195">
      <c r="A195" s="3" t="s">
        <v>1319</v>
      </c>
      <c r="B195" s="4" t="s">
        <v>246</v>
      </c>
      <c r="C195" s="4" t="s">
        <v>474</v>
      </c>
      <c r="D195" s="4" t="s">
        <v>991</v>
      </c>
      <c r="E195" s="4" t="s">
        <v>992</v>
      </c>
      <c r="F195" s="3" t="s">
        <v>714</v>
      </c>
      <c r="G195" s="3" t="s">
        <v>59</v>
      </c>
      <c r="H195" s="11"/>
      <c r="I195" s="4" t="s">
        <v>114</v>
      </c>
      <c r="L195" s="2" t="s">
        <v>1320</v>
      </c>
      <c r="V195" s="4" t="s">
        <v>1219</v>
      </c>
    </row>
    <row r="196">
      <c r="A196" s="3" t="s">
        <v>1321</v>
      </c>
      <c r="B196" s="4" t="s">
        <v>246</v>
      </c>
      <c r="C196" s="4" t="s">
        <v>476</v>
      </c>
      <c r="D196" s="4" t="s">
        <v>991</v>
      </c>
      <c r="E196" s="4" t="s">
        <v>992</v>
      </c>
      <c r="F196" s="3" t="s">
        <v>714</v>
      </c>
      <c r="G196" s="3" t="s">
        <v>59</v>
      </c>
      <c r="H196" s="11"/>
      <c r="I196" s="4" t="s">
        <v>114</v>
      </c>
      <c r="L196" s="2" t="s">
        <v>1322</v>
      </c>
      <c r="V196" s="4" t="s">
        <v>1219</v>
      </c>
      <c r="W196" s="4" t="s">
        <v>80</v>
      </c>
    </row>
    <row r="197">
      <c r="A197" s="3" t="s">
        <v>1323</v>
      </c>
      <c r="B197" s="4" t="s">
        <v>246</v>
      </c>
      <c r="C197" s="4" t="s">
        <v>480</v>
      </c>
      <c r="D197" s="4" t="s">
        <v>991</v>
      </c>
      <c r="E197" s="4" t="s">
        <v>992</v>
      </c>
      <c r="F197" s="3" t="s">
        <v>709</v>
      </c>
      <c r="G197" s="3" t="s">
        <v>54</v>
      </c>
      <c r="H197" s="11"/>
      <c r="I197" s="4" t="s">
        <v>331</v>
      </c>
      <c r="L197" s="2" t="s">
        <v>1324</v>
      </c>
      <c r="V197" s="4" t="s">
        <v>1219</v>
      </c>
    </row>
    <row r="198">
      <c r="A198" s="3" t="s">
        <v>1325</v>
      </c>
      <c r="B198" s="4" t="s">
        <v>246</v>
      </c>
      <c r="C198" s="4" t="s">
        <v>483</v>
      </c>
      <c r="D198" s="4" t="s">
        <v>924</v>
      </c>
      <c r="E198" s="4" t="s">
        <v>925</v>
      </c>
      <c r="F198" s="3" t="s">
        <v>965</v>
      </c>
      <c r="G198" s="3" t="s">
        <v>54</v>
      </c>
      <c r="H198" s="11"/>
      <c r="I198" s="4" t="s">
        <v>114</v>
      </c>
      <c r="J198" s="4" t="s">
        <v>20</v>
      </c>
      <c r="L198" s="2" t="s">
        <v>1326</v>
      </c>
      <c r="V198" s="4" t="s">
        <v>1219</v>
      </c>
    </row>
    <row r="199">
      <c r="A199" s="3" t="s">
        <v>1327</v>
      </c>
      <c r="B199" s="4" t="s">
        <v>246</v>
      </c>
      <c r="C199" s="4" t="s">
        <v>486</v>
      </c>
      <c r="D199" s="4" t="s">
        <v>924</v>
      </c>
      <c r="E199" s="4" t="s">
        <v>925</v>
      </c>
      <c r="F199" s="3" t="s">
        <v>789</v>
      </c>
      <c r="G199" s="3" t="s">
        <v>54</v>
      </c>
      <c r="H199" s="11"/>
      <c r="I199" s="4" t="s">
        <v>374</v>
      </c>
      <c r="J199" s="4" t="s">
        <v>20</v>
      </c>
      <c r="L199" s="2" t="s">
        <v>1328</v>
      </c>
      <c r="V199" s="4" t="s">
        <v>1219</v>
      </c>
    </row>
    <row r="200">
      <c r="A200" s="3" t="s">
        <v>1329</v>
      </c>
      <c r="B200" s="4" t="s">
        <v>246</v>
      </c>
      <c r="C200" s="4" t="s">
        <v>489</v>
      </c>
      <c r="D200" s="4" t="s">
        <v>924</v>
      </c>
      <c r="E200" s="4" t="s">
        <v>925</v>
      </c>
      <c r="F200" s="3" t="s">
        <v>789</v>
      </c>
      <c r="G200" s="3" t="s">
        <v>54</v>
      </c>
      <c r="H200" s="11"/>
      <c r="I200" s="4" t="s">
        <v>408</v>
      </c>
      <c r="J200" s="4" t="s">
        <v>20</v>
      </c>
      <c r="L200" s="2" t="s">
        <v>1330</v>
      </c>
      <c r="V200" s="4" t="s">
        <v>1219</v>
      </c>
    </row>
    <row r="201">
      <c r="A201" s="3" t="s">
        <v>1331</v>
      </c>
      <c r="B201" s="4" t="s">
        <v>246</v>
      </c>
      <c r="C201" s="4" t="s">
        <v>492</v>
      </c>
      <c r="D201" s="4" t="s">
        <v>924</v>
      </c>
      <c r="E201" s="4" t="s">
        <v>925</v>
      </c>
      <c r="F201" s="3" t="s">
        <v>789</v>
      </c>
      <c r="G201" s="3" t="s">
        <v>54</v>
      </c>
      <c r="H201" s="11"/>
      <c r="I201" s="4" t="s">
        <v>423</v>
      </c>
      <c r="J201" s="4" t="s">
        <v>20</v>
      </c>
      <c r="L201" s="2" t="s">
        <v>1332</v>
      </c>
      <c r="V201" s="4" t="s">
        <v>1219</v>
      </c>
    </row>
    <row r="202">
      <c r="A202" s="3" t="s">
        <v>1333</v>
      </c>
      <c r="B202" s="4" t="s">
        <v>246</v>
      </c>
      <c r="C202" s="4" t="s">
        <v>495</v>
      </c>
      <c r="D202" s="4" t="s">
        <v>924</v>
      </c>
      <c r="E202" s="4" t="s">
        <v>925</v>
      </c>
      <c r="F202" s="3" t="s">
        <v>1148</v>
      </c>
      <c r="G202" s="3" t="s">
        <v>1050</v>
      </c>
      <c r="H202" s="11"/>
      <c r="I202" s="4" t="s">
        <v>114</v>
      </c>
      <c r="J202" s="4" t="s">
        <v>254</v>
      </c>
      <c r="L202" s="2" t="s">
        <v>1334</v>
      </c>
      <c r="V202" s="4" t="s">
        <v>1219</v>
      </c>
    </row>
    <row r="203">
      <c r="A203" s="3" t="s">
        <v>1335</v>
      </c>
      <c r="B203" s="4" t="s">
        <v>246</v>
      </c>
      <c r="C203" s="4" t="s">
        <v>498</v>
      </c>
      <c r="D203" s="4" t="s">
        <v>924</v>
      </c>
      <c r="E203" s="4" t="s">
        <v>925</v>
      </c>
      <c r="F203" s="3" t="s">
        <v>1062</v>
      </c>
      <c r="G203" s="3" t="s">
        <v>1071</v>
      </c>
      <c r="H203" s="11"/>
      <c r="I203" s="4" t="s">
        <v>432</v>
      </c>
      <c r="J203" s="4" t="s">
        <v>20</v>
      </c>
      <c r="L203" s="2" t="s">
        <v>1336</v>
      </c>
      <c r="V203" s="4" t="s">
        <v>1219</v>
      </c>
      <c r="W203" s="4" t="s">
        <v>80</v>
      </c>
    </row>
    <row r="204">
      <c r="A204" s="3" t="s">
        <v>1337</v>
      </c>
      <c r="B204" s="4" t="s">
        <v>1209</v>
      </c>
      <c r="C204" s="4" t="s">
        <v>183</v>
      </c>
      <c r="D204" s="4" t="s">
        <v>1338</v>
      </c>
      <c r="E204" s="4" t="s">
        <v>1339</v>
      </c>
      <c r="F204" s="28">
        <v>6100.0</v>
      </c>
      <c r="G204" s="3" t="s">
        <v>36</v>
      </c>
      <c r="H204" s="11"/>
      <c r="I204" s="4" t="s">
        <v>114</v>
      </c>
      <c r="J204" s="4" t="s">
        <v>20</v>
      </c>
      <c r="L204" s="2" t="s">
        <v>1334</v>
      </c>
      <c r="V204" s="4" t="s">
        <v>1219</v>
      </c>
    </row>
    <row r="205">
      <c r="A205" s="3" t="s">
        <v>1340</v>
      </c>
      <c r="B205" s="4" t="s">
        <v>1209</v>
      </c>
      <c r="C205" s="4" t="s">
        <v>185</v>
      </c>
      <c r="D205" s="4" t="s">
        <v>1338</v>
      </c>
      <c r="E205" s="4" t="s">
        <v>1339</v>
      </c>
      <c r="F205" s="3" t="s">
        <v>1034</v>
      </c>
      <c r="G205" s="3" t="s">
        <v>36</v>
      </c>
      <c r="H205" s="11"/>
      <c r="I205" s="4" t="s">
        <v>1341</v>
      </c>
      <c r="J205" s="4" t="s">
        <v>20</v>
      </c>
      <c r="L205" s="2" t="s">
        <v>1336</v>
      </c>
      <c r="V205" s="4" t="s">
        <v>1219</v>
      </c>
      <c r="W205" s="4" t="s">
        <v>80</v>
      </c>
    </row>
    <row r="206">
      <c r="A206" s="3" t="s">
        <v>1342</v>
      </c>
      <c r="B206" s="4" t="s">
        <v>1209</v>
      </c>
      <c r="C206" s="4" t="s">
        <v>187</v>
      </c>
      <c r="D206" s="4" t="s">
        <v>1338</v>
      </c>
      <c r="E206" s="4" t="s">
        <v>1339</v>
      </c>
      <c r="F206" s="3" t="s">
        <v>944</v>
      </c>
      <c r="G206" s="3" t="s">
        <v>36</v>
      </c>
      <c r="H206" s="11"/>
      <c r="I206" s="4" t="s">
        <v>1343</v>
      </c>
      <c r="J206" s="4" t="s">
        <v>20</v>
      </c>
      <c r="L206" s="2" t="s">
        <v>1344</v>
      </c>
      <c r="V206" s="4" t="s">
        <v>1219</v>
      </c>
    </row>
    <row r="207">
      <c r="A207" s="3" t="s">
        <v>1345</v>
      </c>
      <c r="F207" s="11"/>
      <c r="G207" s="11"/>
      <c r="H207" s="11"/>
      <c r="W207" s="4" t="s">
        <v>80</v>
      </c>
    </row>
    <row r="208">
      <c r="A208" s="3" t="s">
        <v>102</v>
      </c>
      <c r="F208" s="11"/>
      <c r="G208" s="11"/>
      <c r="H208" s="11"/>
      <c r="W208" s="4" t="s">
        <v>1346</v>
      </c>
    </row>
    <row r="209">
      <c r="A209" s="3" t="s">
        <v>105</v>
      </c>
      <c r="F209" s="11"/>
      <c r="G209" s="11"/>
      <c r="H209" s="11"/>
      <c r="W209" s="4" t="s">
        <v>1347</v>
      </c>
    </row>
    <row r="210">
      <c r="A210" s="3" t="s">
        <v>109</v>
      </c>
      <c r="F210" s="11"/>
      <c r="G210" s="11"/>
      <c r="H210" s="11"/>
      <c r="W210" s="4" t="s">
        <v>1348</v>
      </c>
    </row>
    <row r="211">
      <c r="A211" s="11"/>
      <c r="F211" s="11"/>
      <c r="G211" s="11"/>
      <c r="H211" s="11"/>
    </row>
    <row r="212">
      <c r="A212" s="11"/>
      <c r="F212" s="11"/>
      <c r="G212" s="11"/>
      <c r="H212" s="11"/>
    </row>
    <row r="213">
      <c r="A213" s="11"/>
      <c r="F213" s="11"/>
      <c r="G213" s="11"/>
      <c r="H213" s="11"/>
    </row>
    <row r="214">
      <c r="A214" s="11"/>
      <c r="F214" s="11"/>
      <c r="G214" s="11"/>
      <c r="H214" s="11"/>
    </row>
    <row r="215">
      <c r="A215" s="11"/>
      <c r="F215" s="11"/>
      <c r="G215" s="11"/>
      <c r="H215" s="11"/>
    </row>
    <row r="216">
      <c r="A216" s="11"/>
      <c r="F216" s="11"/>
      <c r="G216" s="11"/>
      <c r="H216" s="11"/>
    </row>
    <row r="217">
      <c r="A217" s="11"/>
      <c r="F217" s="11"/>
      <c r="G217" s="11"/>
      <c r="H217" s="11"/>
    </row>
    <row r="218">
      <c r="A218" s="11"/>
      <c r="F218" s="11"/>
      <c r="G218" s="11"/>
      <c r="H218" s="11"/>
    </row>
    <row r="219">
      <c r="A219" s="11"/>
      <c r="F219" s="11"/>
      <c r="G219" s="11"/>
      <c r="H219" s="11"/>
    </row>
    <row r="220">
      <c r="A220" s="11"/>
      <c r="F220" s="11"/>
      <c r="G220" s="11"/>
      <c r="H220" s="11"/>
    </row>
    <row r="221">
      <c r="A221" s="11"/>
      <c r="F221" s="11"/>
      <c r="G221" s="11"/>
      <c r="H221" s="11"/>
    </row>
    <row r="222">
      <c r="A222" s="11"/>
      <c r="F222" s="11"/>
      <c r="G222" s="11"/>
      <c r="H222" s="11"/>
    </row>
    <row r="223">
      <c r="A223" s="11"/>
      <c r="F223" s="11"/>
      <c r="G223" s="11"/>
      <c r="H223" s="11"/>
    </row>
    <row r="224">
      <c r="A224" s="11"/>
      <c r="F224" s="11"/>
      <c r="G224" s="11"/>
      <c r="H224" s="11"/>
    </row>
    <row r="225">
      <c r="A225" s="11"/>
      <c r="F225" s="11"/>
      <c r="G225" s="11"/>
      <c r="H225" s="11"/>
    </row>
    <row r="226">
      <c r="A226" s="11"/>
      <c r="F226" s="11"/>
      <c r="G226" s="11"/>
      <c r="H226" s="11"/>
    </row>
    <row r="227">
      <c r="A227" s="11"/>
      <c r="F227" s="11"/>
      <c r="G227" s="11"/>
      <c r="H227" s="11"/>
    </row>
    <row r="228">
      <c r="A228" s="11"/>
      <c r="F228" s="11"/>
      <c r="G228" s="11"/>
      <c r="H228" s="11"/>
    </row>
    <row r="229">
      <c r="A229" s="11"/>
      <c r="F229" s="11"/>
      <c r="G229" s="11"/>
      <c r="H229" s="11"/>
    </row>
    <row r="230">
      <c r="A230" s="11"/>
      <c r="F230" s="11"/>
      <c r="G230" s="11"/>
      <c r="H230" s="11"/>
    </row>
    <row r="231">
      <c r="A231" s="11"/>
      <c r="F231" s="11"/>
      <c r="G231" s="11"/>
      <c r="H231" s="11"/>
    </row>
    <row r="232">
      <c r="A232" s="11"/>
      <c r="F232" s="11"/>
      <c r="G232" s="11"/>
      <c r="H232" s="11"/>
    </row>
    <row r="233">
      <c r="A233" s="11"/>
      <c r="F233" s="11"/>
      <c r="G233" s="11"/>
      <c r="H233" s="11"/>
    </row>
    <row r="234">
      <c r="A234" s="11"/>
      <c r="F234" s="11"/>
      <c r="G234" s="11"/>
      <c r="H234" s="11"/>
    </row>
    <row r="235">
      <c r="A235" s="11"/>
      <c r="F235" s="11"/>
      <c r="G235" s="11"/>
      <c r="H235" s="11"/>
    </row>
    <row r="236">
      <c r="A236" s="11"/>
      <c r="F236" s="11"/>
      <c r="G236" s="11"/>
      <c r="H236" s="11"/>
    </row>
    <row r="237">
      <c r="A237" s="11"/>
      <c r="F237" s="11"/>
      <c r="G237" s="11"/>
      <c r="H237" s="11"/>
    </row>
    <row r="238">
      <c r="A238" s="11"/>
      <c r="F238" s="11"/>
      <c r="G238" s="11"/>
      <c r="H238" s="11"/>
    </row>
    <row r="239">
      <c r="A239" s="11"/>
      <c r="F239" s="11"/>
      <c r="G239" s="11"/>
      <c r="H239" s="11"/>
    </row>
    <row r="240">
      <c r="A240" s="11"/>
      <c r="F240" s="11"/>
      <c r="G240" s="11"/>
      <c r="H240" s="11"/>
    </row>
    <row r="241">
      <c r="A241" s="11"/>
      <c r="F241" s="11"/>
      <c r="G241" s="11"/>
      <c r="H241" s="11"/>
    </row>
    <row r="242">
      <c r="A242" s="11"/>
      <c r="F242" s="11"/>
      <c r="G242" s="11"/>
      <c r="H242" s="11"/>
    </row>
    <row r="243">
      <c r="A243" s="11"/>
      <c r="F243" s="11"/>
      <c r="G243" s="11"/>
      <c r="H243" s="11"/>
    </row>
    <row r="244">
      <c r="A244" s="11"/>
      <c r="F244" s="11"/>
      <c r="G244" s="11"/>
      <c r="H244" s="11"/>
    </row>
    <row r="245">
      <c r="A245" s="11"/>
      <c r="F245" s="11"/>
      <c r="G245" s="11"/>
      <c r="H245" s="11"/>
    </row>
    <row r="246">
      <c r="A246" s="11"/>
      <c r="F246" s="11"/>
      <c r="G246" s="11"/>
      <c r="H246" s="11"/>
    </row>
    <row r="247">
      <c r="A247" s="11"/>
      <c r="F247" s="11"/>
      <c r="G247" s="11"/>
      <c r="H247" s="11"/>
    </row>
    <row r="248">
      <c r="A248" s="11"/>
      <c r="F248" s="11"/>
      <c r="G248" s="11"/>
      <c r="H248" s="11"/>
    </row>
    <row r="249">
      <c r="A249" s="11"/>
      <c r="F249" s="11"/>
      <c r="G249" s="11"/>
      <c r="H249" s="11"/>
    </row>
    <row r="250">
      <c r="A250" s="11"/>
      <c r="F250" s="11"/>
      <c r="G250" s="11"/>
      <c r="H250" s="11"/>
    </row>
    <row r="251">
      <c r="A251" s="11"/>
      <c r="F251" s="11"/>
      <c r="G251" s="11"/>
      <c r="H251" s="11"/>
    </row>
    <row r="252">
      <c r="A252" s="11"/>
      <c r="F252" s="11"/>
      <c r="G252" s="11"/>
      <c r="H252" s="11"/>
    </row>
    <row r="253">
      <c r="A253" s="11"/>
      <c r="F253" s="11"/>
      <c r="G253" s="11"/>
      <c r="H253" s="11"/>
    </row>
    <row r="254">
      <c r="A254" s="11"/>
      <c r="F254" s="11"/>
      <c r="G254" s="11"/>
      <c r="H254" s="11"/>
    </row>
    <row r="255">
      <c r="A255" s="11"/>
      <c r="F255" s="11"/>
      <c r="G255" s="11"/>
      <c r="H255" s="11"/>
    </row>
    <row r="256">
      <c r="A256" s="11"/>
      <c r="F256" s="11"/>
      <c r="G256" s="11"/>
      <c r="H256" s="11"/>
    </row>
    <row r="257">
      <c r="A257" s="11"/>
      <c r="F257" s="11"/>
      <c r="G257" s="11"/>
      <c r="H257" s="11"/>
    </row>
    <row r="258">
      <c r="A258" s="11"/>
      <c r="F258" s="11"/>
      <c r="G258" s="11"/>
      <c r="H258" s="11"/>
    </row>
    <row r="259">
      <c r="A259" s="11"/>
      <c r="F259" s="11"/>
      <c r="G259" s="11"/>
      <c r="H259" s="11"/>
    </row>
    <row r="260">
      <c r="A260" s="11"/>
      <c r="F260" s="11"/>
      <c r="G260" s="11"/>
      <c r="H260" s="11"/>
    </row>
    <row r="261">
      <c r="A261" s="11"/>
      <c r="F261" s="11"/>
      <c r="G261" s="11"/>
      <c r="H261" s="11"/>
    </row>
    <row r="262">
      <c r="A262" s="11"/>
      <c r="F262" s="11"/>
      <c r="G262" s="11"/>
      <c r="H262" s="11"/>
    </row>
    <row r="263">
      <c r="A263" s="11"/>
      <c r="F263" s="11"/>
      <c r="G263" s="11"/>
      <c r="H263" s="11"/>
    </row>
    <row r="264">
      <c r="A264" s="11"/>
      <c r="F264" s="11"/>
      <c r="G264" s="11"/>
      <c r="H264" s="11"/>
    </row>
    <row r="265">
      <c r="A265" s="11"/>
      <c r="F265" s="11"/>
      <c r="G265" s="11"/>
      <c r="H265" s="11"/>
    </row>
    <row r="266">
      <c r="A266" s="11"/>
      <c r="F266" s="11"/>
      <c r="G266" s="11"/>
      <c r="H266" s="11"/>
    </row>
    <row r="267">
      <c r="A267" s="11"/>
      <c r="F267" s="11"/>
      <c r="G267" s="11"/>
      <c r="H267" s="11"/>
    </row>
    <row r="268">
      <c r="A268" s="11"/>
      <c r="F268" s="11"/>
      <c r="G268" s="11"/>
      <c r="H268" s="11"/>
    </row>
    <row r="269">
      <c r="A269" s="11"/>
      <c r="F269" s="11"/>
      <c r="G269" s="11"/>
      <c r="H269" s="11"/>
    </row>
    <row r="270">
      <c r="A270" s="11"/>
      <c r="F270" s="11"/>
      <c r="G270" s="11"/>
      <c r="H270" s="11"/>
    </row>
    <row r="271">
      <c r="A271" s="11"/>
      <c r="F271" s="11"/>
      <c r="G271" s="11"/>
      <c r="H271" s="11"/>
    </row>
    <row r="272">
      <c r="A272" s="11"/>
      <c r="F272" s="11"/>
      <c r="G272" s="11"/>
      <c r="H272" s="11"/>
    </row>
    <row r="273">
      <c r="A273" s="11"/>
      <c r="F273" s="11"/>
      <c r="G273" s="11"/>
      <c r="H273" s="11"/>
    </row>
    <row r="274">
      <c r="A274" s="11"/>
      <c r="F274" s="11"/>
      <c r="G274" s="11"/>
      <c r="H274" s="11"/>
    </row>
    <row r="275">
      <c r="A275" s="11"/>
      <c r="F275" s="11"/>
      <c r="G275" s="11"/>
      <c r="H275" s="11"/>
    </row>
    <row r="276">
      <c r="A276" s="11"/>
      <c r="F276" s="11"/>
      <c r="G276" s="11"/>
      <c r="H276" s="11"/>
    </row>
    <row r="277">
      <c r="A277" s="11"/>
      <c r="F277" s="11"/>
      <c r="G277" s="11"/>
      <c r="H277" s="11"/>
    </row>
    <row r="278">
      <c r="A278" s="11"/>
      <c r="F278" s="11"/>
      <c r="G278" s="11"/>
      <c r="H278" s="11"/>
    </row>
    <row r="279">
      <c r="A279" s="11"/>
      <c r="F279" s="11"/>
      <c r="G279" s="11"/>
      <c r="H279" s="11"/>
    </row>
    <row r="280">
      <c r="A280" s="11"/>
      <c r="F280" s="11"/>
      <c r="G280" s="11"/>
      <c r="H280" s="11"/>
    </row>
    <row r="281">
      <c r="A281" s="11"/>
      <c r="F281" s="11"/>
      <c r="G281" s="11"/>
      <c r="H281" s="11"/>
    </row>
    <row r="282">
      <c r="A282" s="11"/>
      <c r="F282" s="11"/>
      <c r="G282" s="11"/>
      <c r="H282" s="11"/>
    </row>
    <row r="283">
      <c r="A283" s="11"/>
      <c r="F283" s="11"/>
      <c r="G283" s="11"/>
      <c r="H283" s="11"/>
    </row>
    <row r="284">
      <c r="A284" s="11"/>
      <c r="F284" s="11"/>
      <c r="G284" s="11"/>
      <c r="H284" s="11"/>
    </row>
    <row r="285">
      <c r="A285" s="11"/>
      <c r="F285" s="11"/>
      <c r="G285" s="11"/>
      <c r="H285" s="11"/>
    </row>
    <row r="286">
      <c r="A286" s="11"/>
      <c r="F286" s="11"/>
      <c r="G286" s="11"/>
      <c r="H286" s="11"/>
    </row>
    <row r="287">
      <c r="A287" s="11"/>
      <c r="F287" s="11"/>
      <c r="G287" s="11"/>
      <c r="H287" s="11"/>
    </row>
    <row r="288">
      <c r="A288" s="11"/>
      <c r="F288" s="11"/>
      <c r="G288" s="11"/>
      <c r="H288" s="11"/>
    </row>
    <row r="289">
      <c r="A289" s="11"/>
      <c r="F289" s="11"/>
      <c r="G289" s="11"/>
      <c r="H289" s="11"/>
    </row>
    <row r="290">
      <c r="A290" s="11"/>
      <c r="F290" s="11"/>
      <c r="G290" s="11"/>
      <c r="H290" s="11"/>
    </row>
    <row r="291">
      <c r="A291" s="11"/>
      <c r="F291" s="11"/>
      <c r="G291" s="11"/>
      <c r="H291" s="11"/>
    </row>
    <row r="292">
      <c r="A292" s="11"/>
      <c r="F292" s="11"/>
      <c r="G292" s="11"/>
      <c r="H292" s="11"/>
    </row>
    <row r="293">
      <c r="A293" s="11"/>
      <c r="F293" s="11"/>
      <c r="G293" s="11"/>
      <c r="H293" s="11"/>
    </row>
    <row r="294">
      <c r="A294" s="11"/>
      <c r="F294" s="11"/>
      <c r="G294" s="11"/>
      <c r="H294" s="11"/>
    </row>
    <row r="295">
      <c r="A295" s="11"/>
      <c r="F295" s="11"/>
      <c r="G295" s="11"/>
      <c r="H295" s="11"/>
    </row>
    <row r="296">
      <c r="A296" s="11"/>
      <c r="F296" s="11"/>
      <c r="G296" s="11"/>
      <c r="H296" s="11"/>
    </row>
    <row r="297">
      <c r="A297" s="11"/>
      <c r="F297" s="11"/>
      <c r="G297" s="11"/>
      <c r="H297" s="11"/>
    </row>
    <row r="298">
      <c r="A298" s="11"/>
      <c r="F298" s="11"/>
      <c r="G298" s="11"/>
      <c r="H298" s="11"/>
    </row>
    <row r="299">
      <c r="A299" s="11"/>
      <c r="F299" s="11"/>
      <c r="G299" s="11"/>
      <c r="H299" s="11"/>
    </row>
    <row r="300">
      <c r="A300" s="11"/>
      <c r="F300" s="11"/>
      <c r="G300" s="11"/>
      <c r="H300" s="11"/>
    </row>
    <row r="301">
      <c r="A301" s="11"/>
      <c r="F301" s="11"/>
      <c r="G301" s="11"/>
      <c r="H301" s="11"/>
    </row>
    <row r="302">
      <c r="A302" s="11"/>
      <c r="F302" s="11"/>
      <c r="G302" s="11"/>
      <c r="H302" s="11"/>
    </row>
    <row r="303">
      <c r="A303" s="11"/>
      <c r="F303" s="11"/>
      <c r="G303" s="11"/>
      <c r="H303" s="11"/>
    </row>
    <row r="304">
      <c r="A304" s="11"/>
      <c r="F304" s="11"/>
      <c r="G304" s="11"/>
      <c r="H304" s="11"/>
    </row>
    <row r="305">
      <c r="A305" s="11"/>
      <c r="F305" s="11"/>
      <c r="G305" s="11"/>
      <c r="H305" s="11"/>
    </row>
    <row r="306">
      <c r="A306" s="11"/>
      <c r="F306" s="11"/>
      <c r="G306" s="11"/>
      <c r="H306" s="11"/>
    </row>
    <row r="307">
      <c r="A307" s="11"/>
      <c r="F307" s="11"/>
      <c r="G307" s="11"/>
      <c r="H307" s="11"/>
    </row>
    <row r="308">
      <c r="A308" s="11"/>
      <c r="F308" s="11"/>
      <c r="G308" s="11"/>
      <c r="H308" s="11"/>
    </row>
    <row r="309">
      <c r="A309" s="11"/>
      <c r="F309" s="11"/>
      <c r="G309" s="11"/>
      <c r="H309" s="11"/>
    </row>
    <row r="310">
      <c r="A310" s="11"/>
      <c r="F310" s="11"/>
      <c r="G310" s="11"/>
      <c r="H310" s="11"/>
    </row>
    <row r="311">
      <c r="A311" s="11"/>
      <c r="F311" s="11"/>
      <c r="G311" s="11"/>
      <c r="H311" s="11"/>
    </row>
    <row r="312">
      <c r="A312" s="11"/>
      <c r="F312" s="11"/>
      <c r="G312" s="11"/>
      <c r="H312" s="11"/>
    </row>
    <row r="313">
      <c r="A313" s="11"/>
      <c r="F313" s="11"/>
      <c r="G313" s="11"/>
      <c r="H313" s="11"/>
    </row>
    <row r="314">
      <c r="A314" s="11"/>
      <c r="F314" s="11"/>
      <c r="G314" s="11"/>
      <c r="H314" s="11"/>
    </row>
    <row r="315">
      <c r="A315" s="11"/>
      <c r="F315" s="11"/>
      <c r="G315" s="11"/>
      <c r="H315" s="11"/>
    </row>
    <row r="316">
      <c r="A316" s="11"/>
      <c r="F316" s="11"/>
      <c r="G316" s="11"/>
      <c r="H316" s="11"/>
    </row>
    <row r="317">
      <c r="A317" s="11"/>
      <c r="F317" s="11"/>
      <c r="G317" s="11"/>
      <c r="H317" s="11"/>
    </row>
    <row r="318">
      <c r="A318" s="11"/>
      <c r="F318" s="11"/>
      <c r="G318" s="11"/>
      <c r="H318" s="11"/>
    </row>
    <row r="319">
      <c r="A319" s="11"/>
      <c r="F319" s="11"/>
      <c r="G319" s="11"/>
      <c r="H319" s="11"/>
    </row>
    <row r="320">
      <c r="A320" s="11"/>
      <c r="F320" s="11"/>
      <c r="G320" s="11"/>
      <c r="H320" s="11"/>
    </row>
    <row r="321">
      <c r="A321" s="11"/>
      <c r="F321" s="11"/>
      <c r="G321" s="11"/>
      <c r="H321" s="11"/>
    </row>
    <row r="322">
      <c r="A322" s="11"/>
      <c r="F322" s="11"/>
      <c r="G322" s="11"/>
      <c r="H322" s="11"/>
    </row>
    <row r="323">
      <c r="A323" s="11"/>
      <c r="F323" s="11"/>
      <c r="G323" s="11"/>
      <c r="H323" s="11"/>
    </row>
    <row r="324">
      <c r="A324" s="11"/>
      <c r="F324" s="11"/>
      <c r="G324" s="11"/>
      <c r="H324" s="11"/>
    </row>
    <row r="325">
      <c r="A325" s="11"/>
      <c r="F325" s="11"/>
      <c r="G325" s="11"/>
      <c r="H325" s="11"/>
    </row>
    <row r="326">
      <c r="A326" s="11"/>
      <c r="F326" s="11"/>
      <c r="G326" s="11"/>
      <c r="H326" s="11"/>
    </row>
    <row r="327">
      <c r="A327" s="11"/>
      <c r="F327" s="11"/>
      <c r="G327" s="11"/>
      <c r="H327" s="11"/>
    </row>
    <row r="328">
      <c r="A328" s="11"/>
      <c r="F328" s="11"/>
      <c r="G328" s="11"/>
      <c r="H328" s="11"/>
    </row>
    <row r="329">
      <c r="A329" s="11"/>
      <c r="F329" s="11"/>
      <c r="G329" s="11"/>
      <c r="H329" s="11"/>
    </row>
    <row r="330">
      <c r="A330" s="11"/>
      <c r="F330" s="11"/>
      <c r="G330" s="11"/>
      <c r="H330" s="11"/>
    </row>
    <row r="331">
      <c r="A331" s="11"/>
      <c r="F331" s="11"/>
      <c r="G331" s="11"/>
      <c r="H331" s="11"/>
    </row>
    <row r="332">
      <c r="A332" s="11"/>
      <c r="F332" s="11"/>
      <c r="G332" s="11"/>
      <c r="H332" s="11"/>
    </row>
    <row r="333">
      <c r="A333" s="11"/>
      <c r="F333" s="11"/>
      <c r="G333" s="11"/>
      <c r="H333" s="11"/>
    </row>
    <row r="334">
      <c r="A334" s="11"/>
      <c r="F334" s="11"/>
      <c r="G334" s="11"/>
      <c r="H334" s="11"/>
    </row>
    <row r="335">
      <c r="A335" s="11"/>
      <c r="F335" s="11"/>
      <c r="G335" s="11"/>
      <c r="H335" s="11"/>
    </row>
    <row r="336">
      <c r="A336" s="11"/>
      <c r="F336" s="11"/>
      <c r="G336" s="11"/>
      <c r="H336" s="11"/>
    </row>
    <row r="337">
      <c r="A337" s="11"/>
      <c r="F337" s="11"/>
      <c r="G337" s="11"/>
      <c r="H337" s="11"/>
    </row>
    <row r="338">
      <c r="A338" s="11"/>
      <c r="F338" s="11"/>
      <c r="G338" s="11"/>
      <c r="H338" s="11"/>
    </row>
    <row r="339">
      <c r="A339" s="11"/>
      <c r="F339" s="11"/>
      <c r="G339" s="11"/>
      <c r="H339" s="11"/>
    </row>
    <row r="340">
      <c r="A340" s="11"/>
      <c r="F340" s="11"/>
      <c r="G340" s="11"/>
      <c r="H340" s="11"/>
    </row>
    <row r="341">
      <c r="A341" s="11"/>
      <c r="F341" s="11"/>
      <c r="G341" s="11"/>
      <c r="H341" s="11"/>
    </row>
    <row r="342">
      <c r="A342" s="11"/>
      <c r="F342" s="11"/>
      <c r="G342" s="11"/>
      <c r="H342" s="11"/>
    </row>
    <row r="343">
      <c r="A343" s="11"/>
      <c r="F343" s="11"/>
      <c r="G343" s="11"/>
      <c r="H343" s="11"/>
    </row>
    <row r="344">
      <c r="A344" s="11"/>
      <c r="F344" s="11"/>
      <c r="G344" s="11"/>
      <c r="H344" s="11"/>
    </row>
    <row r="345">
      <c r="A345" s="11"/>
      <c r="F345" s="11"/>
      <c r="G345" s="11"/>
      <c r="H345" s="11"/>
    </row>
    <row r="346">
      <c r="A346" s="11"/>
      <c r="F346" s="11"/>
      <c r="G346" s="11"/>
      <c r="H346" s="11"/>
    </row>
    <row r="347">
      <c r="A347" s="11"/>
      <c r="F347" s="11"/>
      <c r="G347" s="11"/>
      <c r="H347" s="11"/>
    </row>
    <row r="348">
      <c r="A348" s="11"/>
      <c r="F348" s="11"/>
      <c r="G348" s="11"/>
      <c r="H348" s="11"/>
    </row>
    <row r="349">
      <c r="A349" s="11"/>
      <c r="F349" s="11"/>
      <c r="G349" s="11"/>
      <c r="H349" s="11"/>
    </row>
    <row r="350">
      <c r="A350" s="11"/>
      <c r="F350" s="11"/>
      <c r="G350" s="11"/>
      <c r="H350" s="11"/>
    </row>
    <row r="351">
      <c r="A351" s="11"/>
      <c r="F351" s="11"/>
      <c r="G351" s="11"/>
      <c r="H351" s="11"/>
    </row>
    <row r="352">
      <c r="A352" s="11"/>
      <c r="F352" s="11"/>
      <c r="G352" s="11"/>
      <c r="H352" s="11"/>
    </row>
    <row r="353">
      <c r="A353" s="11"/>
      <c r="F353" s="11"/>
      <c r="G353" s="11"/>
      <c r="H353" s="11"/>
    </row>
    <row r="354">
      <c r="A354" s="11"/>
      <c r="F354" s="11"/>
      <c r="G354" s="11"/>
      <c r="H354" s="11"/>
    </row>
    <row r="355">
      <c r="A355" s="11"/>
      <c r="F355" s="11"/>
      <c r="G355" s="11"/>
      <c r="H355" s="11"/>
    </row>
    <row r="356">
      <c r="A356" s="11"/>
      <c r="F356" s="11"/>
      <c r="G356" s="11"/>
      <c r="H356" s="11"/>
    </row>
    <row r="357">
      <c r="A357" s="11"/>
      <c r="F357" s="11"/>
      <c r="G357" s="11"/>
      <c r="H357" s="11"/>
    </row>
    <row r="358">
      <c r="A358" s="11"/>
      <c r="F358" s="11"/>
      <c r="G358" s="11"/>
      <c r="H358" s="11"/>
    </row>
    <row r="359">
      <c r="A359" s="11"/>
      <c r="F359" s="11"/>
      <c r="G359" s="11"/>
      <c r="H359" s="11"/>
    </row>
    <row r="360">
      <c r="A360" s="11"/>
      <c r="F360" s="11"/>
      <c r="G360" s="11"/>
      <c r="H360" s="11"/>
    </row>
    <row r="361">
      <c r="A361" s="11"/>
      <c r="F361" s="11"/>
      <c r="G361" s="11"/>
      <c r="H361" s="11"/>
    </row>
    <row r="362">
      <c r="A362" s="11"/>
      <c r="F362" s="11"/>
      <c r="G362" s="11"/>
      <c r="H362" s="11"/>
    </row>
    <row r="363">
      <c r="A363" s="11"/>
      <c r="F363" s="11"/>
      <c r="G363" s="11"/>
      <c r="H363" s="11"/>
    </row>
    <row r="364">
      <c r="A364" s="11"/>
      <c r="F364" s="11"/>
      <c r="G364" s="11"/>
      <c r="H364" s="11"/>
    </row>
    <row r="365">
      <c r="A365" s="11"/>
      <c r="F365" s="11"/>
      <c r="G365" s="11"/>
      <c r="H365" s="11"/>
    </row>
    <row r="366">
      <c r="A366" s="11"/>
      <c r="F366" s="11"/>
      <c r="G366" s="11"/>
      <c r="H366" s="11"/>
    </row>
    <row r="367">
      <c r="A367" s="11"/>
      <c r="F367" s="11"/>
      <c r="G367" s="11"/>
      <c r="H367" s="11"/>
    </row>
    <row r="368">
      <c r="A368" s="11"/>
      <c r="F368" s="11"/>
      <c r="G368" s="11"/>
      <c r="H368" s="11"/>
    </row>
    <row r="369">
      <c r="A369" s="11"/>
      <c r="F369" s="11"/>
      <c r="G369" s="11"/>
      <c r="H369" s="11"/>
    </row>
    <row r="370">
      <c r="A370" s="11"/>
      <c r="F370" s="11"/>
      <c r="G370" s="11"/>
      <c r="H370" s="11"/>
    </row>
    <row r="371">
      <c r="A371" s="11"/>
      <c r="F371" s="11"/>
      <c r="G371" s="11"/>
      <c r="H371" s="11"/>
    </row>
    <row r="372">
      <c r="A372" s="11"/>
      <c r="F372" s="11"/>
      <c r="G372" s="11"/>
      <c r="H372" s="11"/>
    </row>
    <row r="373">
      <c r="A373" s="11"/>
      <c r="F373" s="11"/>
      <c r="G373" s="11"/>
      <c r="H373" s="11"/>
    </row>
    <row r="374">
      <c r="A374" s="11"/>
      <c r="F374" s="11"/>
      <c r="G374" s="11"/>
      <c r="H374" s="11"/>
    </row>
    <row r="375">
      <c r="A375" s="11"/>
      <c r="F375" s="11"/>
      <c r="G375" s="11"/>
      <c r="H375" s="11"/>
    </row>
    <row r="376">
      <c r="A376" s="11"/>
      <c r="F376" s="11"/>
      <c r="G376" s="11"/>
      <c r="H376" s="11"/>
    </row>
    <row r="377">
      <c r="A377" s="11"/>
      <c r="F377" s="11"/>
      <c r="G377" s="11"/>
      <c r="H377" s="11"/>
    </row>
    <row r="378">
      <c r="A378" s="11"/>
      <c r="F378" s="11"/>
      <c r="G378" s="11"/>
      <c r="H378" s="11"/>
    </row>
    <row r="379">
      <c r="A379" s="11"/>
      <c r="F379" s="11"/>
      <c r="G379" s="11"/>
      <c r="H379" s="11"/>
    </row>
    <row r="380">
      <c r="A380" s="11"/>
      <c r="F380" s="11"/>
      <c r="G380" s="11"/>
      <c r="H380" s="11"/>
    </row>
    <row r="381">
      <c r="A381" s="11"/>
      <c r="F381" s="11"/>
      <c r="G381" s="11"/>
      <c r="H381" s="11"/>
    </row>
    <row r="382">
      <c r="A382" s="11"/>
      <c r="F382" s="11"/>
      <c r="G382" s="11"/>
      <c r="H382" s="11"/>
    </row>
    <row r="383">
      <c r="A383" s="11"/>
      <c r="F383" s="11"/>
      <c r="G383" s="11"/>
      <c r="H383" s="11"/>
    </row>
    <row r="384">
      <c r="A384" s="11"/>
      <c r="F384" s="11"/>
      <c r="G384" s="11"/>
      <c r="H384" s="11"/>
    </row>
    <row r="385">
      <c r="A385" s="11"/>
      <c r="F385" s="11"/>
      <c r="G385" s="11"/>
      <c r="H385" s="11"/>
    </row>
    <row r="386">
      <c r="A386" s="11"/>
      <c r="F386" s="11"/>
      <c r="G386" s="11"/>
      <c r="H386" s="11"/>
    </row>
    <row r="387">
      <c r="A387" s="11"/>
      <c r="F387" s="11"/>
      <c r="G387" s="11"/>
      <c r="H387" s="11"/>
    </row>
    <row r="388">
      <c r="A388" s="11"/>
      <c r="F388" s="11"/>
      <c r="G388" s="11"/>
      <c r="H388" s="11"/>
    </row>
    <row r="389">
      <c r="A389" s="11"/>
      <c r="F389" s="11"/>
      <c r="G389" s="11"/>
      <c r="H389" s="11"/>
    </row>
    <row r="390">
      <c r="A390" s="11"/>
      <c r="F390" s="11"/>
      <c r="G390" s="11"/>
      <c r="H390" s="11"/>
    </row>
    <row r="391">
      <c r="A391" s="11"/>
      <c r="F391" s="11"/>
      <c r="G391" s="11"/>
      <c r="H391" s="11"/>
    </row>
    <row r="392">
      <c r="A392" s="11"/>
      <c r="F392" s="11"/>
      <c r="G392" s="11"/>
      <c r="H392" s="11"/>
    </row>
    <row r="393">
      <c r="A393" s="11"/>
      <c r="F393" s="11"/>
      <c r="G393" s="11"/>
      <c r="H393" s="11"/>
    </row>
    <row r="394">
      <c r="A394" s="11"/>
      <c r="F394" s="11"/>
      <c r="G394" s="11"/>
      <c r="H394" s="11"/>
    </row>
    <row r="395">
      <c r="A395" s="11"/>
      <c r="F395" s="11"/>
      <c r="G395" s="11"/>
      <c r="H395" s="11"/>
    </row>
    <row r="396">
      <c r="A396" s="11"/>
      <c r="F396" s="11"/>
      <c r="G396" s="11"/>
      <c r="H396" s="11"/>
    </row>
    <row r="397">
      <c r="A397" s="11"/>
      <c r="F397" s="11"/>
      <c r="G397" s="11"/>
      <c r="H397" s="11"/>
    </row>
    <row r="398">
      <c r="A398" s="11"/>
      <c r="F398" s="11"/>
      <c r="G398" s="11"/>
      <c r="H398" s="11"/>
    </row>
    <row r="399">
      <c r="A399" s="11"/>
      <c r="F399" s="11"/>
      <c r="G399" s="11"/>
      <c r="H399" s="11"/>
    </row>
    <row r="400">
      <c r="A400" s="11"/>
      <c r="F400" s="11"/>
      <c r="G400" s="11"/>
      <c r="H400" s="11"/>
    </row>
    <row r="401">
      <c r="A401" s="11"/>
      <c r="F401" s="11"/>
      <c r="G401" s="11"/>
      <c r="H401" s="11"/>
    </row>
    <row r="402">
      <c r="A402" s="11"/>
      <c r="F402" s="11"/>
      <c r="G402" s="11"/>
      <c r="H402" s="11"/>
    </row>
    <row r="403">
      <c r="A403" s="11"/>
      <c r="F403" s="11"/>
      <c r="G403" s="11"/>
      <c r="H403" s="11"/>
    </row>
    <row r="404">
      <c r="A404" s="11"/>
      <c r="F404" s="11"/>
      <c r="G404" s="11"/>
      <c r="H404" s="11"/>
    </row>
    <row r="405">
      <c r="A405" s="11"/>
      <c r="F405" s="11"/>
      <c r="G405" s="11"/>
      <c r="H405" s="11"/>
    </row>
    <row r="406">
      <c r="A406" s="11"/>
      <c r="F406" s="11"/>
      <c r="G406" s="11"/>
      <c r="H406" s="11"/>
    </row>
    <row r="407">
      <c r="A407" s="11"/>
      <c r="F407" s="11"/>
      <c r="G407" s="11"/>
      <c r="H407" s="11"/>
    </row>
    <row r="408">
      <c r="A408" s="11"/>
      <c r="F408" s="11"/>
      <c r="G408" s="11"/>
      <c r="H408" s="11"/>
    </row>
    <row r="409">
      <c r="A409" s="11"/>
      <c r="F409" s="11"/>
      <c r="G409" s="11"/>
      <c r="H409" s="11"/>
    </row>
    <row r="410">
      <c r="A410" s="11"/>
      <c r="F410" s="11"/>
      <c r="G410" s="11"/>
      <c r="H410" s="11"/>
    </row>
    <row r="411">
      <c r="A411" s="11"/>
      <c r="F411" s="11"/>
      <c r="G411" s="11"/>
      <c r="H411" s="11"/>
    </row>
    <row r="412">
      <c r="A412" s="11"/>
      <c r="F412" s="11"/>
      <c r="G412" s="11"/>
      <c r="H412" s="11"/>
    </row>
    <row r="413">
      <c r="A413" s="11"/>
      <c r="F413" s="11"/>
      <c r="G413" s="11"/>
      <c r="H413" s="11"/>
    </row>
    <row r="414">
      <c r="A414" s="11"/>
      <c r="F414" s="11"/>
      <c r="G414" s="11"/>
      <c r="H414" s="11"/>
    </row>
    <row r="415">
      <c r="A415" s="11"/>
      <c r="F415" s="11"/>
      <c r="G415" s="11"/>
      <c r="H415" s="11"/>
    </row>
    <row r="416">
      <c r="A416" s="11"/>
      <c r="F416" s="11"/>
      <c r="G416" s="11"/>
      <c r="H416" s="11"/>
    </row>
    <row r="417">
      <c r="A417" s="11"/>
      <c r="F417" s="11"/>
      <c r="G417" s="11"/>
      <c r="H417" s="11"/>
    </row>
    <row r="418">
      <c r="A418" s="11"/>
      <c r="F418" s="11"/>
      <c r="G418" s="11"/>
      <c r="H418" s="11"/>
    </row>
    <row r="419">
      <c r="A419" s="11"/>
      <c r="F419" s="11"/>
      <c r="G419" s="11"/>
      <c r="H419" s="11"/>
    </row>
    <row r="420">
      <c r="A420" s="11"/>
      <c r="F420" s="11"/>
      <c r="G420" s="11"/>
      <c r="H420" s="11"/>
    </row>
    <row r="421">
      <c r="A421" s="11"/>
      <c r="F421" s="11"/>
      <c r="G421" s="11"/>
      <c r="H421" s="11"/>
    </row>
    <row r="422">
      <c r="A422" s="11"/>
      <c r="F422" s="11"/>
      <c r="G422" s="11"/>
      <c r="H422" s="11"/>
    </row>
    <row r="423">
      <c r="A423" s="11"/>
      <c r="F423" s="11"/>
      <c r="G423" s="11"/>
      <c r="H423" s="11"/>
    </row>
    <row r="424">
      <c r="A424" s="11"/>
      <c r="F424" s="11"/>
      <c r="G424" s="11"/>
      <c r="H424" s="11"/>
    </row>
    <row r="425">
      <c r="A425" s="11"/>
      <c r="F425" s="11"/>
      <c r="G425" s="11"/>
      <c r="H425" s="11"/>
    </row>
    <row r="426">
      <c r="A426" s="11"/>
      <c r="F426" s="11"/>
      <c r="G426" s="11"/>
      <c r="H426" s="11"/>
    </row>
    <row r="427">
      <c r="A427" s="11"/>
      <c r="F427" s="11"/>
      <c r="G427" s="11"/>
      <c r="H427" s="11"/>
    </row>
    <row r="428">
      <c r="A428" s="11"/>
      <c r="F428" s="11"/>
      <c r="G428" s="11"/>
      <c r="H428" s="11"/>
    </row>
    <row r="429">
      <c r="A429" s="11"/>
      <c r="F429" s="11"/>
      <c r="G429" s="11"/>
      <c r="H429" s="11"/>
    </row>
    <row r="430">
      <c r="A430" s="11"/>
      <c r="F430" s="11"/>
      <c r="G430" s="11"/>
      <c r="H430" s="11"/>
    </row>
    <row r="431">
      <c r="A431" s="11"/>
      <c r="F431" s="11"/>
      <c r="G431" s="11"/>
      <c r="H431" s="11"/>
    </row>
    <row r="432">
      <c r="A432" s="11"/>
      <c r="F432" s="11"/>
      <c r="G432" s="11"/>
      <c r="H432" s="11"/>
    </row>
    <row r="433">
      <c r="A433" s="11"/>
      <c r="F433" s="11"/>
      <c r="G433" s="11"/>
      <c r="H433" s="11"/>
    </row>
    <row r="434">
      <c r="A434" s="11"/>
      <c r="F434" s="11"/>
      <c r="G434" s="11"/>
      <c r="H434" s="11"/>
    </row>
    <row r="435">
      <c r="A435" s="11"/>
      <c r="F435" s="11"/>
      <c r="G435" s="11"/>
      <c r="H435" s="11"/>
    </row>
    <row r="436">
      <c r="A436" s="11"/>
      <c r="F436" s="11"/>
      <c r="G436" s="11"/>
      <c r="H436" s="11"/>
    </row>
    <row r="437">
      <c r="A437" s="11"/>
      <c r="F437" s="11"/>
      <c r="G437" s="11"/>
      <c r="H437" s="11"/>
    </row>
    <row r="438">
      <c r="A438" s="11"/>
      <c r="F438" s="11"/>
      <c r="G438" s="11"/>
      <c r="H438" s="11"/>
    </row>
    <row r="439">
      <c r="A439" s="11"/>
      <c r="F439" s="11"/>
      <c r="G439" s="11"/>
      <c r="H439" s="11"/>
    </row>
    <row r="440">
      <c r="A440" s="11"/>
      <c r="F440" s="11"/>
      <c r="G440" s="11"/>
      <c r="H440" s="11"/>
    </row>
    <row r="441">
      <c r="A441" s="11"/>
      <c r="F441" s="11"/>
      <c r="G441" s="11"/>
      <c r="H441" s="11"/>
    </row>
    <row r="442">
      <c r="A442" s="11"/>
      <c r="F442" s="11"/>
      <c r="G442" s="11"/>
      <c r="H442" s="11"/>
    </row>
    <row r="443">
      <c r="A443" s="11"/>
      <c r="F443" s="11"/>
      <c r="G443" s="11"/>
      <c r="H443" s="11"/>
    </row>
    <row r="444">
      <c r="A444" s="11"/>
      <c r="F444" s="11"/>
      <c r="G444" s="11"/>
      <c r="H444" s="11"/>
    </row>
    <row r="445">
      <c r="A445" s="11"/>
      <c r="F445" s="11"/>
      <c r="G445" s="11"/>
      <c r="H445" s="11"/>
    </row>
    <row r="446">
      <c r="A446" s="11"/>
      <c r="F446" s="11"/>
      <c r="G446" s="11"/>
      <c r="H446" s="11"/>
    </row>
    <row r="447">
      <c r="A447" s="11"/>
      <c r="F447" s="11"/>
      <c r="G447" s="11"/>
      <c r="H447" s="11"/>
    </row>
    <row r="448">
      <c r="A448" s="11"/>
      <c r="F448" s="11"/>
      <c r="G448" s="11"/>
      <c r="H448" s="11"/>
    </row>
    <row r="449">
      <c r="A449" s="11"/>
      <c r="F449" s="11"/>
      <c r="G449" s="11"/>
      <c r="H449" s="11"/>
    </row>
    <row r="450">
      <c r="A450" s="11"/>
      <c r="F450" s="11"/>
      <c r="G450" s="11"/>
      <c r="H450" s="11"/>
    </row>
    <row r="451">
      <c r="A451" s="11"/>
      <c r="F451" s="11"/>
      <c r="G451" s="11"/>
      <c r="H451" s="11"/>
    </row>
    <row r="452">
      <c r="A452" s="11"/>
      <c r="F452" s="11"/>
      <c r="G452" s="11"/>
      <c r="H452" s="11"/>
    </row>
    <row r="453">
      <c r="A453" s="11"/>
      <c r="F453" s="11"/>
      <c r="G453" s="11"/>
      <c r="H453" s="11"/>
    </row>
    <row r="454">
      <c r="A454" s="11"/>
      <c r="F454" s="11"/>
      <c r="G454" s="11"/>
      <c r="H454" s="11"/>
    </row>
    <row r="455">
      <c r="A455" s="11"/>
      <c r="F455" s="11"/>
      <c r="G455" s="11"/>
      <c r="H455" s="11"/>
    </row>
    <row r="456">
      <c r="A456" s="11"/>
      <c r="F456" s="11"/>
      <c r="G456" s="11"/>
      <c r="H456" s="11"/>
    </row>
    <row r="457">
      <c r="A457" s="11"/>
      <c r="F457" s="11"/>
      <c r="G457" s="11"/>
      <c r="H457" s="11"/>
    </row>
    <row r="458">
      <c r="A458" s="11"/>
      <c r="F458" s="11"/>
      <c r="G458" s="11"/>
      <c r="H458" s="11"/>
    </row>
    <row r="459">
      <c r="A459" s="11"/>
      <c r="F459" s="11"/>
      <c r="G459" s="11"/>
      <c r="H459" s="11"/>
    </row>
    <row r="460">
      <c r="A460" s="11"/>
      <c r="F460" s="11"/>
      <c r="G460" s="11"/>
      <c r="H460" s="11"/>
    </row>
    <row r="461">
      <c r="A461" s="11"/>
      <c r="F461" s="11"/>
      <c r="G461" s="11"/>
      <c r="H461" s="11"/>
    </row>
    <row r="462">
      <c r="A462" s="11"/>
      <c r="F462" s="11"/>
      <c r="G462" s="11"/>
      <c r="H462" s="11"/>
    </row>
    <row r="463">
      <c r="A463" s="11"/>
      <c r="F463" s="11"/>
      <c r="G463" s="11"/>
      <c r="H463" s="11"/>
    </row>
    <row r="464">
      <c r="A464" s="11"/>
      <c r="F464" s="11"/>
      <c r="G464" s="11"/>
      <c r="H464" s="11"/>
    </row>
    <row r="465">
      <c r="A465" s="11"/>
      <c r="F465" s="11"/>
      <c r="G465" s="11"/>
      <c r="H465" s="11"/>
    </row>
    <row r="466">
      <c r="A466" s="11"/>
      <c r="F466" s="11"/>
      <c r="G466" s="11"/>
      <c r="H466" s="11"/>
    </row>
    <row r="467">
      <c r="A467" s="11"/>
      <c r="F467" s="11"/>
      <c r="G467" s="11"/>
      <c r="H467" s="11"/>
    </row>
    <row r="468">
      <c r="A468" s="11"/>
      <c r="F468" s="11"/>
      <c r="G468" s="11"/>
      <c r="H468" s="11"/>
    </row>
    <row r="469">
      <c r="A469" s="11"/>
      <c r="F469" s="11"/>
      <c r="G469" s="11"/>
      <c r="H469" s="11"/>
    </row>
    <row r="470">
      <c r="A470" s="11"/>
      <c r="F470" s="11"/>
      <c r="G470" s="11"/>
      <c r="H470" s="11"/>
    </row>
    <row r="471">
      <c r="A471" s="11"/>
      <c r="F471" s="11"/>
      <c r="G471" s="11"/>
      <c r="H471" s="11"/>
    </row>
    <row r="472">
      <c r="A472" s="11"/>
      <c r="F472" s="11"/>
      <c r="G472" s="11"/>
      <c r="H472" s="11"/>
    </row>
    <row r="473">
      <c r="A473" s="11"/>
      <c r="F473" s="11"/>
      <c r="G473" s="11"/>
      <c r="H473" s="11"/>
    </row>
    <row r="474">
      <c r="A474" s="11"/>
      <c r="F474" s="11"/>
      <c r="G474" s="11"/>
      <c r="H474" s="11"/>
    </row>
    <row r="475">
      <c r="A475" s="11"/>
      <c r="F475" s="11"/>
      <c r="G475" s="11"/>
      <c r="H475" s="11"/>
    </row>
    <row r="476">
      <c r="A476" s="11"/>
      <c r="F476" s="11"/>
      <c r="G476" s="11"/>
      <c r="H476" s="11"/>
    </row>
    <row r="477">
      <c r="A477" s="11"/>
      <c r="F477" s="11"/>
      <c r="G477" s="11"/>
      <c r="H477" s="11"/>
    </row>
    <row r="478">
      <c r="A478" s="11"/>
      <c r="F478" s="11"/>
      <c r="G478" s="11"/>
      <c r="H478" s="11"/>
    </row>
    <row r="479">
      <c r="A479" s="11"/>
      <c r="F479" s="11"/>
      <c r="G479" s="11"/>
      <c r="H479" s="11"/>
    </row>
    <row r="480">
      <c r="A480" s="11"/>
      <c r="F480" s="11"/>
      <c r="G480" s="11"/>
      <c r="H480" s="11"/>
    </row>
    <row r="481">
      <c r="A481" s="11"/>
      <c r="F481" s="11"/>
      <c r="G481" s="11"/>
      <c r="H481" s="11"/>
    </row>
    <row r="482">
      <c r="A482" s="11"/>
      <c r="F482" s="11"/>
      <c r="G482" s="11"/>
      <c r="H482" s="11"/>
    </row>
    <row r="483">
      <c r="A483" s="11"/>
      <c r="F483" s="11"/>
      <c r="G483" s="11"/>
      <c r="H483" s="11"/>
    </row>
    <row r="484">
      <c r="A484" s="11"/>
      <c r="F484" s="11"/>
      <c r="G484" s="11"/>
      <c r="H484" s="11"/>
    </row>
    <row r="485">
      <c r="A485" s="11"/>
      <c r="F485" s="11"/>
      <c r="G485" s="11"/>
      <c r="H485" s="11"/>
    </row>
    <row r="486">
      <c r="A486" s="11"/>
      <c r="F486" s="11"/>
      <c r="G486" s="11"/>
      <c r="H486" s="11"/>
    </row>
    <row r="487">
      <c r="A487" s="11"/>
      <c r="F487" s="11"/>
      <c r="G487" s="11"/>
      <c r="H487" s="11"/>
    </row>
    <row r="488">
      <c r="A488" s="11"/>
      <c r="F488" s="11"/>
      <c r="G488" s="11"/>
      <c r="H488" s="11"/>
    </row>
    <row r="489">
      <c r="A489" s="11"/>
      <c r="F489" s="11"/>
      <c r="G489" s="11"/>
      <c r="H489" s="11"/>
    </row>
    <row r="490">
      <c r="A490" s="11"/>
      <c r="F490" s="11"/>
      <c r="G490" s="11"/>
      <c r="H490" s="11"/>
    </row>
    <row r="491">
      <c r="A491" s="11"/>
      <c r="F491" s="11"/>
      <c r="G491" s="11"/>
      <c r="H491" s="11"/>
    </row>
    <row r="492">
      <c r="A492" s="11"/>
      <c r="F492" s="11"/>
      <c r="G492" s="11"/>
      <c r="H492" s="11"/>
    </row>
    <row r="493">
      <c r="A493" s="11"/>
      <c r="F493" s="11"/>
      <c r="G493" s="11"/>
      <c r="H493" s="11"/>
    </row>
    <row r="494">
      <c r="A494" s="11"/>
      <c r="F494" s="11"/>
      <c r="G494" s="11"/>
      <c r="H494" s="11"/>
    </row>
    <row r="495">
      <c r="A495" s="11"/>
      <c r="F495" s="11"/>
      <c r="G495" s="11"/>
      <c r="H495" s="11"/>
    </row>
    <row r="496">
      <c r="A496" s="11"/>
      <c r="F496" s="11"/>
      <c r="G496" s="11"/>
      <c r="H496" s="11"/>
    </row>
    <row r="497">
      <c r="A497" s="11"/>
      <c r="F497" s="11"/>
      <c r="G497" s="11"/>
      <c r="H497" s="11"/>
    </row>
    <row r="498">
      <c r="A498" s="11"/>
      <c r="F498" s="11"/>
      <c r="G498" s="11"/>
      <c r="H498" s="11"/>
    </row>
    <row r="499">
      <c r="A499" s="11"/>
      <c r="F499" s="11"/>
      <c r="G499" s="11"/>
      <c r="H499" s="11"/>
    </row>
    <row r="500">
      <c r="A500" s="11"/>
      <c r="F500" s="11"/>
      <c r="G500" s="11"/>
      <c r="H500" s="11"/>
    </row>
    <row r="501">
      <c r="A501" s="11"/>
      <c r="F501" s="11"/>
      <c r="G501" s="11"/>
      <c r="H501" s="11"/>
    </row>
    <row r="502">
      <c r="A502" s="11"/>
      <c r="F502" s="11"/>
      <c r="G502" s="11"/>
      <c r="H502" s="11"/>
    </row>
    <row r="503">
      <c r="A503" s="11"/>
      <c r="F503" s="11"/>
      <c r="G503" s="11"/>
      <c r="H503" s="11"/>
    </row>
    <row r="504">
      <c r="A504" s="11"/>
      <c r="F504" s="11"/>
      <c r="G504" s="11"/>
      <c r="H504" s="11"/>
    </row>
    <row r="505">
      <c r="A505" s="11"/>
      <c r="F505" s="11"/>
      <c r="G505" s="11"/>
      <c r="H505" s="11"/>
    </row>
    <row r="506">
      <c r="A506" s="11"/>
      <c r="F506" s="11"/>
      <c r="G506" s="11"/>
      <c r="H506" s="11"/>
    </row>
    <row r="507">
      <c r="A507" s="11"/>
      <c r="F507" s="11"/>
      <c r="G507" s="11"/>
      <c r="H507" s="11"/>
    </row>
    <row r="508">
      <c r="A508" s="11"/>
      <c r="F508" s="11"/>
      <c r="G508" s="11"/>
      <c r="H508" s="11"/>
    </row>
    <row r="509">
      <c r="A509" s="11"/>
      <c r="F509" s="11"/>
      <c r="G509" s="11"/>
      <c r="H509" s="11"/>
    </row>
    <row r="510">
      <c r="A510" s="11"/>
      <c r="F510" s="11"/>
      <c r="G510" s="11"/>
      <c r="H510" s="11"/>
    </row>
    <row r="511">
      <c r="A511" s="11"/>
      <c r="F511" s="11"/>
      <c r="G511" s="11"/>
      <c r="H511" s="11"/>
    </row>
    <row r="512">
      <c r="A512" s="11"/>
      <c r="F512" s="11"/>
      <c r="G512" s="11"/>
      <c r="H512" s="11"/>
    </row>
    <row r="513">
      <c r="A513" s="11"/>
      <c r="F513" s="11"/>
      <c r="G513" s="11"/>
      <c r="H513" s="11"/>
    </row>
    <row r="514">
      <c r="A514" s="11"/>
      <c r="F514" s="11"/>
      <c r="G514" s="11"/>
      <c r="H514" s="11"/>
    </row>
    <row r="515">
      <c r="A515" s="11"/>
      <c r="F515" s="11"/>
      <c r="G515" s="11"/>
      <c r="H515" s="11"/>
    </row>
    <row r="516">
      <c r="A516" s="11"/>
      <c r="F516" s="11"/>
      <c r="G516" s="11"/>
      <c r="H516" s="11"/>
    </row>
    <row r="517">
      <c r="A517" s="11"/>
      <c r="F517" s="11"/>
      <c r="G517" s="11"/>
      <c r="H517" s="11"/>
    </row>
    <row r="518">
      <c r="A518" s="11"/>
      <c r="F518" s="11"/>
      <c r="G518" s="11"/>
      <c r="H518" s="11"/>
    </row>
    <row r="519">
      <c r="A519" s="11"/>
      <c r="F519" s="11"/>
      <c r="G519" s="11"/>
      <c r="H519" s="11"/>
    </row>
    <row r="520">
      <c r="A520" s="11"/>
      <c r="F520" s="11"/>
      <c r="G520" s="11"/>
      <c r="H520" s="11"/>
    </row>
    <row r="521">
      <c r="A521" s="11"/>
      <c r="F521" s="11"/>
      <c r="G521" s="11"/>
      <c r="H521" s="11"/>
    </row>
    <row r="522">
      <c r="A522" s="11"/>
      <c r="F522" s="11"/>
      <c r="G522" s="11"/>
      <c r="H522" s="11"/>
    </row>
    <row r="523">
      <c r="A523" s="11"/>
      <c r="F523" s="11"/>
      <c r="G523" s="11"/>
      <c r="H523" s="11"/>
    </row>
    <row r="524">
      <c r="A524" s="11"/>
      <c r="F524" s="11"/>
      <c r="G524" s="11"/>
      <c r="H524" s="11"/>
    </row>
    <row r="525">
      <c r="A525" s="11"/>
      <c r="F525" s="11"/>
      <c r="G525" s="11"/>
      <c r="H525" s="11"/>
    </row>
    <row r="526">
      <c r="A526" s="11"/>
      <c r="F526" s="11"/>
      <c r="G526" s="11"/>
      <c r="H526" s="11"/>
    </row>
    <row r="527">
      <c r="A527" s="11"/>
      <c r="F527" s="11"/>
      <c r="G527" s="11"/>
      <c r="H527" s="11"/>
    </row>
    <row r="528">
      <c r="A528" s="11"/>
      <c r="F528" s="11"/>
      <c r="G528" s="11"/>
      <c r="H528" s="11"/>
    </row>
    <row r="529">
      <c r="A529" s="11"/>
      <c r="F529" s="11"/>
      <c r="G529" s="11"/>
      <c r="H529" s="11"/>
    </row>
    <row r="530">
      <c r="A530" s="11"/>
      <c r="F530" s="11"/>
      <c r="G530" s="11"/>
      <c r="H530" s="11"/>
    </row>
    <row r="531">
      <c r="A531" s="11"/>
      <c r="F531" s="11"/>
      <c r="G531" s="11"/>
      <c r="H531" s="11"/>
    </row>
    <row r="532">
      <c r="A532" s="11"/>
      <c r="F532" s="11"/>
      <c r="G532" s="11"/>
      <c r="H532" s="11"/>
    </row>
    <row r="533">
      <c r="A533" s="11"/>
      <c r="F533" s="11"/>
      <c r="G533" s="11"/>
      <c r="H533" s="11"/>
    </row>
    <row r="534">
      <c r="A534" s="11"/>
      <c r="F534" s="11"/>
      <c r="G534" s="11"/>
      <c r="H534" s="11"/>
    </row>
    <row r="535">
      <c r="A535" s="11"/>
      <c r="F535" s="11"/>
      <c r="G535" s="11"/>
      <c r="H535" s="11"/>
    </row>
    <row r="536">
      <c r="A536" s="11"/>
      <c r="F536" s="11"/>
      <c r="G536" s="11"/>
      <c r="H536" s="11"/>
    </row>
    <row r="537">
      <c r="A537" s="11"/>
      <c r="F537" s="11"/>
      <c r="G537" s="11"/>
      <c r="H537" s="11"/>
    </row>
    <row r="538">
      <c r="A538" s="11"/>
      <c r="F538" s="11"/>
      <c r="G538" s="11"/>
      <c r="H538" s="11"/>
    </row>
    <row r="539">
      <c r="A539" s="11"/>
      <c r="F539" s="11"/>
      <c r="G539" s="11"/>
      <c r="H539" s="11"/>
    </row>
    <row r="540">
      <c r="A540" s="11"/>
      <c r="F540" s="11"/>
      <c r="G540" s="11"/>
      <c r="H540" s="11"/>
    </row>
    <row r="541">
      <c r="A541" s="11"/>
      <c r="F541" s="11"/>
      <c r="G541" s="11"/>
      <c r="H541" s="11"/>
    </row>
    <row r="542">
      <c r="A542" s="11"/>
      <c r="F542" s="11"/>
      <c r="G542" s="11"/>
      <c r="H542" s="11"/>
    </row>
    <row r="543">
      <c r="A543" s="11"/>
      <c r="F543" s="11"/>
      <c r="G543" s="11"/>
      <c r="H543" s="11"/>
    </row>
    <row r="544">
      <c r="A544" s="11"/>
      <c r="F544" s="11"/>
      <c r="G544" s="11"/>
      <c r="H544" s="11"/>
    </row>
    <row r="545">
      <c r="A545" s="11"/>
      <c r="F545" s="11"/>
      <c r="G545" s="11"/>
      <c r="H545" s="11"/>
    </row>
    <row r="546">
      <c r="A546" s="11"/>
      <c r="F546" s="11"/>
      <c r="G546" s="11"/>
      <c r="H546" s="11"/>
    </row>
    <row r="547">
      <c r="A547" s="11"/>
      <c r="F547" s="11"/>
      <c r="G547" s="11"/>
      <c r="H547" s="11"/>
    </row>
    <row r="548">
      <c r="A548" s="11"/>
      <c r="F548" s="11"/>
      <c r="G548" s="11"/>
      <c r="H548" s="11"/>
    </row>
    <row r="549">
      <c r="A549" s="11"/>
      <c r="F549" s="11"/>
      <c r="G549" s="11"/>
      <c r="H549" s="11"/>
    </row>
    <row r="550">
      <c r="A550" s="11"/>
      <c r="F550" s="11"/>
      <c r="G550" s="11"/>
      <c r="H550" s="11"/>
    </row>
    <row r="551">
      <c r="A551" s="11"/>
      <c r="F551" s="11"/>
      <c r="G551" s="11"/>
      <c r="H551" s="11"/>
    </row>
    <row r="552">
      <c r="A552" s="11"/>
      <c r="F552" s="11"/>
      <c r="G552" s="11"/>
      <c r="H552" s="11"/>
    </row>
    <row r="553">
      <c r="A553" s="11"/>
      <c r="F553" s="11"/>
      <c r="G553" s="11"/>
      <c r="H553" s="11"/>
    </row>
    <row r="554">
      <c r="A554" s="11"/>
      <c r="F554" s="11"/>
      <c r="G554" s="11"/>
      <c r="H554" s="11"/>
    </row>
    <row r="555">
      <c r="A555" s="11"/>
      <c r="F555" s="11"/>
      <c r="G555" s="11"/>
      <c r="H555" s="11"/>
    </row>
    <row r="556">
      <c r="A556" s="11"/>
      <c r="F556" s="11"/>
      <c r="G556" s="11"/>
      <c r="H556" s="11"/>
    </row>
    <row r="557">
      <c r="A557" s="11"/>
      <c r="F557" s="11"/>
      <c r="G557" s="11"/>
      <c r="H557" s="11"/>
    </row>
    <row r="558">
      <c r="A558" s="11"/>
      <c r="F558" s="11"/>
      <c r="G558" s="11"/>
      <c r="H558" s="11"/>
    </row>
    <row r="559">
      <c r="A559" s="11"/>
      <c r="F559" s="11"/>
      <c r="G559" s="11"/>
      <c r="H559" s="11"/>
    </row>
    <row r="560">
      <c r="A560" s="11"/>
      <c r="F560" s="11"/>
      <c r="G560" s="11"/>
      <c r="H560" s="11"/>
    </row>
    <row r="561">
      <c r="A561" s="11"/>
      <c r="F561" s="11"/>
      <c r="G561" s="11"/>
      <c r="H561" s="11"/>
    </row>
    <row r="562">
      <c r="A562" s="11"/>
      <c r="F562" s="11"/>
      <c r="G562" s="11"/>
      <c r="H562" s="11"/>
    </row>
    <row r="563">
      <c r="A563" s="11"/>
      <c r="F563" s="11"/>
      <c r="G563" s="11"/>
      <c r="H563" s="11"/>
    </row>
    <row r="564">
      <c r="A564" s="11"/>
      <c r="F564" s="11"/>
      <c r="G564" s="11"/>
      <c r="H564" s="11"/>
    </row>
    <row r="565">
      <c r="A565" s="11"/>
      <c r="F565" s="11"/>
      <c r="G565" s="11"/>
      <c r="H565" s="11"/>
    </row>
    <row r="566">
      <c r="A566" s="11"/>
      <c r="F566" s="11"/>
      <c r="G566" s="11"/>
      <c r="H566" s="11"/>
    </row>
    <row r="567">
      <c r="A567" s="11"/>
      <c r="F567" s="11"/>
      <c r="G567" s="11"/>
      <c r="H567" s="11"/>
    </row>
    <row r="568">
      <c r="A568" s="11"/>
      <c r="F568" s="11"/>
      <c r="G568" s="11"/>
      <c r="H568" s="11"/>
    </row>
    <row r="569">
      <c r="A569" s="11"/>
      <c r="F569" s="11"/>
      <c r="G569" s="11"/>
      <c r="H569" s="11"/>
    </row>
    <row r="570">
      <c r="A570" s="11"/>
      <c r="F570" s="11"/>
      <c r="G570" s="11"/>
      <c r="H570" s="11"/>
    </row>
    <row r="571">
      <c r="A571" s="11"/>
      <c r="F571" s="11"/>
      <c r="G571" s="11"/>
      <c r="H571" s="11"/>
    </row>
    <row r="572">
      <c r="A572" s="11"/>
      <c r="F572" s="11"/>
      <c r="G572" s="11"/>
      <c r="H572" s="11"/>
    </row>
    <row r="573">
      <c r="A573" s="11"/>
      <c r="F573" s="11"/>
      <c r="G573" s="11"/>
      <c r="H573" s="11"/>
    </row>
    <row r="574">
      <c r="A574" s="11"/>
      <c r="F574" s="11"/>
      <c r="G574" s="11"/>
      <c r="H574" s="11"/>
    </row>
    <row r="575">
      <c r="A575" s="11"/>
      <c r="F575" s="11"/>
      <c r="G575" s="11"/>
      <c r="H575" s="11"/>
    </row>
    <row r="576">
      <c r="A576" s="11"/>
      <c r="F576" s="11"/>
      <c r="G576" s="11"/>
      <c r="H576" s="11"/>
    </row>
    <row r="577">
      <c r="A577" s="11"/>
      <c r="F577" s="11"/>
      <c r="G577" s="11"/>
      <c r="H577" s="11"/>
    </row>
    <row r="578">
      <c r="A578" s="11"/>
      <c r="F578" s="11"/>
      <c r="G578" s="11"/>
      <c r="H578" s="11"/>
    </row>
    <row r="579">
      <c r="A579" s="11"/>
      <c r="F579" s="11"/>
      <c r="G579" s="11"/>
      <c r="H579" s="11"/>
    </row>
    <row r="580">
      <c r="A580" s="11"/>
      <c r="F580" s="11"/>
      <c r="G580" s="11"/>
      <c r="H580" s="11"/>
    </row>
    <row r="581">
      <c r="A581" s="11"/>
      <c r="F581" s="11"/>
      <c r="G581" s="11"/>
      <c r="H581" s="11"/>
    </row>
    <row r="582">
      <c r="A582" s="11"/>
      <c r="F582" s="11"/>
      <c r="G582" s="11"/>
      <c r="H582" s="11"/>
    </row>
    <row r="583">
      <c r="A583" s="11"/>
      <c r="F583" s="11"/>
      <c r="G583" s="11"/>
      <c r="H583" s="11"/>
    </row>
    <row r="584">
      <c r="A584" s="11"/>
      <c r="F584" s="11"/>
      <c r="G584" s="11"/>
      <c r="H584" s="11"/>
    </row>
    <row r="585">
      <c r="A585" s="11"/>
      <c r="F585" s="11"/>
      <c r="G585" s="11"/>
      <c r="H585" s="11"/>
    </row>
    <row r="586">
      <c r="A586" s="11"/>
      <c r="F586" s="11"/>
      <c r="G586" s="11"/>
      <c r="H586" s="11"/>
    </row>
    <row r="587">
      <c r="A587" s="11"/>
      <c r="F587" s="11"/>
      <c r="G587" s="11"/>
      <c r="H587" s="11"/>
    </row>
    <row r="588">
      <c r="A588" s="11"/>
      <c r="F588" s="11"/>
      <c r="G588" s="11"/>
      <c r="H588" s="11"/>
    </row>
    <row r="589">
      <c r="A589" s="11"/>
      <c r="F589" s="11"/>
      <c r="G589" s="11"/>
      <c r="H589" s="11"/>
    </row>
    <row r="590">
      <c r="A590" s="11"/>
      <c r="F590" s="11"/>
      <c r="G590" s="11"/>
      <c r="H590" s="11"/>
    </row>
    <row r="591">
      <c r="A591" s="11"/>
      <c r="F591" s="11"/>
      <c r="G591" s="11"/>
      <c r="H591" s="11"/>
    </row>
    <row r="592">
      <c r="A592" s="11"/>
      <c r="F592" s="11"/>
      <c r="G592" s="11"/>
      <c r="H592" s="11"/>
    </row>
    <row r="593">
      <c r="A593" s="11"/>
      <c r="F593" s="11"/>
      <c r="G593" s="11"/>
      <c r="H593" s="11"/>
    </row>
    <row r="594">
      <c r="A594" s="11"/>
      <c r="F594" s="11"/>
      <c r="G594" s="11"/>
      <c r="H594" s="11"/>
    </row>
    <row r="595">
      <c r="A595" s="11"/>
      <c r="F595" s="11"/>
      <c r="G595" s="11"/>
      <c r="H595" s="11"/>
    </row>
    <row r="596">
      <c r="A596" s="11"/>
      <c r="F596" s="11"/>
      <c r="G596" s="11"/>
      <c r="H596" s="11"/>
    </row>
    <row r="597">
      <c r="A597" s="11"/>
      <c r="F597" s="11"/>
      <c r="G597" s="11"/>
      <c r="H597" s="11"/>
    </row>
    <row r="598">
      <c r="A598" s="11"/>
      <c r="F598" s="11"/>
      <c r="G598" s="11"/>
      <c r="H598" s="11"/>
    </row>
    <row r="599">
      <c r="A599" s="11"/>
      <c r="F599" s="11"/>
      <c r="G599" s="11"/>
      <c r="H599" s="11"/>
    </row>
    <row r="600">
      <c r="A600" s="11"/>
      <c r="F600" s="11"/>
      <c r="G600" s="11"/>
      <c r="H600" s="11"/>
    </row>
    <row r="601">
      <c r="A601" s="11"/>
      <c r="F601" s="11"/>
      <c r="G601" s="11"/>
      <c r="H601" s="11"/>
    </row>
    <row r="602">
      <c r="A602" s="11"/>
      <c r="F602" s="11"/>
      <c r="G602" s="11"/>
      <c r="H602" s="11"/>
    </row>
    <row r="603">
      <c r="A603" s="11"/>
      <c r="F603" s="11"/>
      <c r="G603" s="11"/>
      <c r="H603" s="11"/>
    </row>
    <row r="604">
      <c r="A604" s="11"/>
      <c r="F604" s="11"/>
      <c r="G604" s="11"/>
      <c r="H604" s="11"/>
    </row>
    <row r="605">
      <c r="A605" s="11"/>
      <c r="F605" s="11"/>
      <c r="G605" s="11"/>
      <c r="H605" s="11"/>
    </row>
    <row r="606">
      <c r="A606" s="11"/>
      <c r="F606" s="11"/>
      <c r="G606" s="11"/>
      <c r="H606" s="11"/>
    </row>
    <row r="607">
      <c r="A607" s="11"/>
      <c r="F607" s="11"/>
      <c r="G607" s="11"/>
      <c r="H607" s="11"/>
    </row>
    <row r="608">
      <c r="A608" s="11"/>
      <c r="F608" s="11"/>
      <c r="G608" s="11"/>
      <c r="H608" s="11"/>
    </row>
    <row r="609">
      <c r="A609" s="11"/>
      <c r="F609" s="11"/>
      <c r="G609" s="11"/>
      <c r="H609" s="11"/>
    </row>
    <row r="610">
      <c r="A610" s="11"/>
      <c r="F610" s="11"/>
      <c r="G610" s="11"/>
      <c r="H610" s="11"/>
    </row>
    <row r="611">
      <c r="A611" s="11"/>
      <c r="F611" s="11"/>
      <c r="G611" s="11"/>
      <c r="H611" s="11"/>
    </row>
    <row r="612">
      <c r="A612" s="11"/>
      <c r="F612" s="11"/>
      <c r="G612" s="11"/>
      <c r="H612" s="11"/>
    </row>
    <row r="613">
      <c r="A613" s="11"/>
      <c r="F613" s="11"/>
      <c r="G613" s="11"/>
      <c r="H613" s="11"/>
    </row>
    <row r="614">
      <c r="A614" s="11"/>
      <c r="F614" s="11"/>
      <c r="G614" s="11"/>
      <c r="H614" s="11"/>
    </row>
    <row r="615">
      <c r="A615" s="11"/>
      <c r="F615" s="11"/>
      <c r="G615" s="11"/>
      <c r="H615" s="11"/>
    </row>
    <row r="616">
      <c r="A616" s="11"/>
      <c r="F616" s="11"/>
      <c r="G616" s="11"/>
      <c r="H616" s="11"/>
    </row>
    <row r="617">
      <c r="A617" s="11"/>
      <c r="F617" s="11"/>
      <c r="G617" s="11"/>
      <c r="H617" s="11"/>
    </row>
    <row r="618">
      <c r="A618" s="11"/>
      <c r="F618" s="11"/>
      <c r="G618" s="11"/>
      <c r="H618" s="11"/>
    </row>
    <row r="619">
      <c r="A619" s="11"/>
      <c r="F619" s="11"/>
      <c r="G619" s="11"/>
      <c r="H619" s="11"/>
    </row>
    <row r="620">
      <c r="A620" s="11"/>
      <c r="F620" s="11"/>
      <c r="G620" s="11"/>
      <c r="H620" s="11"/>
    </row>
    <row r="621">
      <c r="A621" s="11"/>
      <c r="F621" s="11"/>
      <c r="G621" s="11"/>
      <c r="H621" s="11"/>
    </row>
    <row r="622">
      <c r="A622" s="11"/>
      <c r="F622" s="11"/>
      <c r="G622" s="11"/>
      <c r="H622" s="11"/>
    </row>
    <row r="623">
      <c r="A623" s="11"/>
      <c r="F623" s="11"/>
      <c r="G623" s="11"/>
      <c r="H623" s="11"/>
    </row>
    <row r="624">
      <c r="A624" s="11"/>
      <c r="F624" s="11"/>
      <c r="G624" s="11"/>
      <c r="H624" s="11"/>
    </row>
    <row r="625">
      <c r="A625" s="11"/>
      <c r="F625" s="11"/>
      <c r="G625" s="11"/>
      <c r="H625" s="11"/>
    </row>
    <row r="626">
      <c r="A626" s="11"/>
      <c r="F626" s="11"/>
      <c r="G626" s="11"/>
      <c r="H626" s="11"/>
    </row>
    <row r="627">
      <c r="A627" s="11"/>
      <c r="F627" s="11"/>
      <c r="G627" s="11"/>
      <c r="H627" s="11"/>
    </row>
    <row r="628">
      <c r="A628" s="11"/>
      <c r="F628" s="11"/>
      <c r="G628" s="11"/>
      <c r="H628" s="11"/>
    </row>
    <row r="629">
      <c r="A629" s="11"/>
      <c r="F629" s="11"/>
      <c r="G629" s="11"/>
      <c r="H629" s="11"/>
    </row>
    <row r="630">
      <c r="A630" s="11"/>
      <c r="F630" s="11"/>
      <c r="G630" s="11"/>
      <c r="H630" s="11"/>
    </row>
    <row r="631">
      <c r="A631" s="11"/>
      <c r="F631" s="11"/>
      <c r="G631" s="11"/>
      <c r="H631" s="11"/>
    </row>
    <row r="632">
      <c r="A632" s="11"/>
      <c r="F632" s="11"/>
      <c r="G632" s="11"/>
      <c r="H632" s="11"/>
    </row>
    <row r="633">
      <c r="A633" s="11"/>
      <c r="F633" s="11"/>
      <c r="G633" s="11"/>
      <c r="H633" s="11"/>
    </row>
    <row r="634">
      <c r="A634" s="11"/>
      <c r="F634" s="11"/>
      <c r="G634" s="11"/>
      <c r="H634" s="11"/>
    </row>
    <row r="635">
      <c r="A635" s="11"/>
      <c r="F635" s="11"/>
      <c r="G635" s="11"/>
      <c r="H635" s="11"/>
    </row>
    <row r="636">
      <c r="A636" s="11"/>
      <c r="F636" s="11"/>
      <c r="G636" s="11"/>
      <c r="H636" s="11"/>
    </row>
    <row r="637">
      <c r="A637" s="11"/>
      <c r="F637" s="11"/>
      <c r="G637" s="11"/>
      <c r="H637" s="11"/>
    </row>
    <row r="638">
      <c r="A638" s="11"/>
      <c r="F638" s="11"/>
      <c r="G638" s="11"/>
      <c r="H638" s="11"/>
    </row>
    <row r="639">
      <c r="A639" s="11"/>
      <c r="F639" s="11"/>
      <c r="G639" s="11"/>
      <c r="H639" s="11"/>
    </row>
    <row r="640">
      <c r="A640" s="11"/>
      <c r="F640" s="11"/>
      <c r="G640" s="11"/>
      <c r="H640" s="11"/>
    </row>
    <row r="641">
      <c r="A641" s="11"/>
      <c r="F641" s="11"/>
      <c r="G641" s="11"/>
      <c r="H641" s="11"/>
    </row>
    <row r="642">
      <c r="A642" s="11"/>
      <c r="F642" s="11"/>
      <c r="G642" s="11"/>
      <c r="H642" s="11"/>
    </row>
    <row r="643">
      <c r="A643" s="11"/>
      <c r="F643" s="11"/>
      <c r="G643" s="11"/>
      <c r="H643" s="11"/>
    </row>
    <row r="644">
      <c r="A644" s="11"/>
      <c r="F644" s="11"/>
      <c r="G644" s="11"/>
      <c r="H644" s="11"/>
    </row>
    <row r="645">
      <c r="A645" s="11"/>
      <c r="F645" s="11"/>
      <c r="G645" s="11"/>
      <c r="H645" s="11"/>
    </row>
    <row r="646">
      <c r="A646" s="11"/>
      <c r="F646" s="11"/>
      <c r="G646" s="11"/>
      <c r="H646" s="11"/>
    </row>
    <row r="647">
      <c r="A647" s="11"/>
      <c r="F647" s="11"/>
      <c r="G647" s="11"/>
      <c r="H647" s="11"/>
    </row>
    <row r="648">
      <c r="A648" s="11"/>
      <c r="F648" s="11"/>
      <c r="G648" s="11"/>
      <c r="H648" s="11"/>
    </row>
    <row r="649">
      <c r="A649" s="11"/>
      <c r="F649" s="11"/>
      <c r="G649" s="11"/>
      <c r="H649" s="11"/>
    </row>
    <row r="650">
      <c r="A650" s="11"/>
      <c r="F650" s="11"/>
      <c r="G650" s="11"/>
      <c r="H650" s="11"/>
    </row>
    <row r="651">
      <c r="A651" s="11"/>
      <c r="F651" s="11"/>
      <c r="G651" s="11"/>
      <c r="H651" s="11"/>
    </row>
    <row r="652">
      <c r="A652" s="11"/>
      <c r="F652" s="11"/>
      <c r="G652" s="11"/>
      <c r="H652" s="11"/>
    </row>
    <row r="653">
      <c r="A653" s="11"/>
      <c r="F653" s="11"/>
      <c r="G653" s="11"/>
      <c r="H653" s="11"/>
    </row>
    <row r="654">
      <c r="A654" s="11"/>
      <c r="F654" s="11"/>
      <c r="G654" s="11"/>
      <c r="H654" s="11"/>
    </row>
    <row r="655">
      <c r="A655" s="11"/>
      <c r="F655" s="11"/>
      <c r="G655" s="11"/>
      <c r="H655" s="11"/>
    </row>
    <row r="656">
      <c r="A656" s="11"/>
      <c r="F656" s="11"/>
      <c r="G656" s="11"/>
      <c r="H656" s="11"/>
    </row>
    <row r="657">
      <c r="A657" s="11"/>
      <c r="F657" s="11"/>
      <c r="G657" s="11"/>
      <c r="H657" s="11"/>
    </row>
    <row r="658">
      <c r="A658" s="11"/>
      <c r="F658" s="11"/>
      <c r="G658" s="11"/>
      <c r="H658" s="11"/>
    </row>
    <row r="659">
      <c r="A659" s="11"/>
      <c r="F659" s="11"/>
      <c r="G659" s="11"/>
      <c r="H659" s="11"/>
    </row>
    <row r="660">
      <c r="A660" s="11"/>
      <c r="F660" s="11"/>
      <c r="G660" s="11"/>
      <c r="H660" s="11"/>
    </row>
    <row r="661">
      <c r="A661" s="11"/>
      <c r="F661" s="11"/>
      <c r="G661" s="11"/>
      <c r="H661" s="11"/>
    </row>
    <row r="662">
      <c r="A662" s="11"/>
      <c r="F662" s="11"/>
      <c r="G662" s="11"/>
      <c r="H662" s="11"/>
    </row>
    <row r="663">
      <c r="A663" s="11"/>
      <c r="F663" s="11"/>
      <c r="G663" s="11"/>
      <c r="H663" s="11"/>
    </row>
    <row r="664">
      <c r="A664" s="11"/>
      <c r="F664" s="11"/>
      <c r="G664" s="11"/>
      <c r="H664" s="11"/>
    </row>
    <row r="665">
      <c r="A665" s="11"/>
      <c r="F665" s="11"/>
      <c r="G665" s="11"/>
      <c r="H665" s="11"/>
    </row>
    <row r="666">
      <c r="A666" s="11"/>
      <c r="F666" s="11"/>
      <c r="G666" s="11"/>
      <c r="H666" s="11"/>
    </row>
    <row r="667">
      <c r="A667" s="11"/>
      <c r="F667" s="11"/>
      <c r="G667" s="11"/>
      <c r="H667" s="11"/>
    </row>
    <row r="668">
      <c r="A668" s="11"/>
      <c r="F668" s="11"/>
      <c r="G668" s="11"/>
      <c r="H668" s="11"/>
    </row>
    <row r="669">
      <c r="A669" s="11"/>
      <c r="F669" s="11"/>
      <c r="G669" s="11"/>
      <c r="H669" s="11"/>
    </row>
    <row r="670">
      <c r="A670" s="11"/>
      <c r="F670" s="11"/>
      <c r="G670" s="11"/>
      <c r="H670" s="11"/>
    </row>
    <row r="671">
      <c r="A671" s="11"/>
      <c r="F671" s="11"/>
      <c r="G671" s="11"/>
      <c r="H671" s="11"/>
    </row>
    <row r="672">
      <c r="A672" s="11"/>
      <c r="F672" s="11"/>
      <c r="G672" s="11"/>
      <c r="H672" s="11"/>
    </row>
    <row r="673">
      <c r="A673" s="11"/>
      <c r="F673" s="11"/>
      <c r="G673" s="11"/>
      <c r="H673" s="11"/>
    </row>
    <row r="674">
      <c r="A674" s="11"/>
      <c r="F674" s="11"/>
      <c r="G674" s="11"/>
      <c r="H674" s="11"/>
    </row>
    <row r="675">
      <c r="A675" s="11"/>
      <c r="F675" s="11"/>
      <c r="G675" s="11"/>
      <c r="H675" s="11"/>
    </row>
    <row r="676">
      <c r="A676" s="11"/>
      <c r="F676" s="11"/>
      <c r="G676" s="11"/>
      <c r="H676" s="11"/>
    </row>
    <row r="677">
      <c r="A677" s="11"/>
      <c r="F677" s="11"/>
      <c r="G677" s="11"/>
      <c r="H677" s="11"/>
    </row>
    <row r="678">
      <c r="A678" s="11"/>
      <c r="F678" s="11"/>
      <c r="G678" s="11"/>
      <c r="H678" s="11"/>
    </row>
    <row r="679">
      <c r="A679" s="11"/>
      <c r="F679" s="11"/>
      <c r="G679" s="11"/>
      <c r="H679" s="11"/>
    </row>
    <row r="680">
      <c r="A680" s="11"/>
      <c r="F680" s="11"/>
      <c r="G680" s="11"/>
      <c r="H680" s="11"/>
    </row>
    <row r="681">
      <c r="A681" s="11"/>
      <c r="F681" s="11"/>
      <c r="G681" s="11"/>
      <c r="H681" s="11"/>
    </row>
    <row r="682">
      <c r="A682" s="11"/>
      <c r="F682" s="11"/>
      <c r="G682" s="11"/>
      <c r="H682" s="11"/>
    </row>
    <row r="683">
      <c r="A683" s="11"/>
      <c r="F683" s="11"/>
      <c r="G683" s="11"/>
      <c r="H683" s="11"/>
    </row>
    <row r="684">
      <c r="A684" s="11"/>
      <c r="F684" s="11"/>
      <c r="G684" s="11"/>
      <c r="H684" s="11"/>
    </row>
    <row r="685">
      <c r="A685" s="11"/>
      <c r="F685" s="11"/>
      <c r="G685" s="11"/>
      <c r="H685" s="11"/>
    </row>
    <row r="686">
      <c r="A686" s="11"/>
      <c r="F686" s="11"/>
      <c r="G686" s="11"/>
      <c r="H686" s="11"/>
    </row>
    <row r="687">
      <c r="A687" s="11"/>
      <c r="F687" s="11"/>
      <c r="G687" s="11"/>
      <c r="H687" s="11"/>
    </row>
    <row r="688">
      <c r="A688" s="11"/>
      <c r="F688" s="11"/>
      <c r="G688" s="11"/>
      <c r="H688" s="11"/>
    </row>
    <row r="689">
      <c r="A689" s="11"/>
      <c r="F689" s="11"/>
      <c r="G689" s="11"/>
      <c r="H689" s="11"/>
    </row>
    <row r="690">
      <c r="A690" s="11"/>
      <c r="F690" s="11"/>
      <c r="G690" s="11"/>
      <c r="H690" s="11"/>
    </row>
    <row r="691">
      <c r="A691" s="11"/>
      <c r="F691" s="11"/>
      <c r="G691" s="11"/>
      <c r="H691" s="11"/>
    </row>
    <row r="692">
      <c r="A692" s="11"/>
      <c r="F692" s="11"/>
      <c r="G692" s="11"/>
      <c r="H692" s="11"/>
    </row>
    <row r="693">
      <c r="A693" s="11"/>
      <c r="F693" s="11"/>
      <c r="G693" s="11"/>
      <c r="H693" s="11"/>
    </row>
    <row r="694">
      <c r="A694" s="11"/>
      <c r="F694" s="11"/>
      <c r="G694" s="11"/>
      <c r="H694" s="11"/>
    </row>
    <row r="695">
      <c r="A695" s="11"/>
      <c r="F695" s="11"/>
      <c r="G695" s="11"/>
      <c r="H695" s="11"/>
    </row>
    <row r="696">
      <c r="A696" s="11"/>
      <c r="F696" s="11"/>
      <c r="G696" s="11"/>
      <c r="H696" s="11"/>
    </row>
    <row r="697">
      <c r="A697" s="11"/>
      <c r="F697" s="11"/>
      <c r="G697" s="11"/>
      <c r="H697" s="11"/>
    </row>
    <row r="698">
      <c r="A698" s="11"/>
      <c r="F698" s="11"/>
      <c r="G698" s="11"/>
      <c r="H698" s="11"/>
    </row>
    <row r="699">
      <c r="A699" s="11"/>
      <c r="F699" s="11"/>
      <c r="G699" s="11"/>
      <c r="H699" s="11"/>
    </row>
    <row r="700">
      <c r="A700" s="11"/>
      <c r="F700" s="11"/>
      <c r="G700" s="11"/>
      <c r="H700" s="11"/>
    </row>
    <row r="701">
      <c r="A701" s="11"/>
      <c r="F701" s="11"/>
      <c r="G701" s="11"/>
      <c r="H701" s="11"/>
    </row>
    <row r="702">
      <c r="A702" s="11"/>
      <c r="F702" s="11"/>
      <c r="G702" s="11"/>
      <c r="H702" s="11"/>
    </row>
    <row r="703">
      <c r="A703" s="11"/>
      <c r="F703" s="11"/>
      <c r="G703" s="11"/>
      <c r="H703" s="11"/>
    </row>
    <row r="704">
      <c r="A704" s="11"/>
      <c r="F704" s="11"/>
      <c r="G704" s="11"/>
      <c r="H704" s="11"/>
    </row>
    <row r="705">
      <c r="A705" s="11"/>
      <c r="F705" s="11"/>
      <c r="G705" s="11"/>
      <c r="H705" s="11"/>
    </row>
    <row r="706">
      <c r="A706" s="11"/>
      <c r="F706" s="11"/>
      <c r="G706" s="11"/>
      <c r="H706" s="11"/>
    </row>
    <row r="707">
      <c r="A707" s="11"/>
      <c r="F707" s="11"/>
      <c r="G707" s="11"/>
      <c r="H707" s="11"/>
    </row>
    <row r="708">
      <c r="A708" s="11"/>
      <c r="F708" s="11"/>
      <c r="G708" s="11"/>
      <c r="H708" s="11"/>
    </row>
    <row r="709">
      <c r="A709" s="11"/>
      <c r="F709" s="11"/>
      <c r="G709" s="11"/>
      <c r="H709" s="11"/>
    </row>
    <row r="710">
      <c r="A710" s="11"/>
      <c r="F710" s="11"/>
      <c r="G710" s="11"/>
      <c r="H710" s="11"/>
    </row>
    <row r="711">
      <c r="A711" s="11"/>
      <c r="F711" s="11"/>
      <c r="G711" s="11"/>
      <c r="H711" s="11"/>
    </row>
    <row r="712">
      <c r="A712" s="11"/>
      <c r="F712" s="11"/>
      <c r="G712" s="11"/>
      <c r="H712" s="11"/>
    </row>
    <row r="713">
      <c r="A713" s="11"/>
      <c r="F713" s="11"/>
      <c r="G713" s="11"/>
      <c r="H713" s="11"/>
    </row>
    <row r="714">
      <c r="A714" s="11"/>
      <c r="F714" s="11"/>
      <c r="G714" s="11"/>
      <c r="H714" s="11"/>
    </row>
    <row r="715">
      <c r="A715" s="11"/>
      <c r="F715" s="11"/>
      <c r="G715" s="11"/>
      <c r="H715" s="11"/>
    </row>
    <row r="716">
      <c r="A716" s="11"/>
      <c r="F716" s="11"/>
      <c r="G716" s="11"/>
      <c r="H716" s="11"/>
    </row>
    <row r="717">
      <c r="A717" s="11"/>
      <c r="F717" s="11"/>
      <c r="G717" s="11"/>
      <c r="H717" s="11"/>
    </row>
    <row r="718">
      <c r="A718" s="11"/>
      <c r="F718" s="11"/>
      <c r="G718" s="11"/>
      <c r="H718" s="11"/>
    </row>
    <row r="719">
      <c r="A719" s="11"/>
      <c r="F719" s="11"/>
      <c r="G719" s="11"/>
      <c r="H719" s="11"/>
    </row>
    <row r="720">
      <c r="A720" s="11"/>
      <c r="F720" s="11"/>
      <c r="G720" s="11"/>
      <c r="H720" s="11"/>
    </row>
    <row r="721">
      <c r="A721" s="11"/>
      <c r="F721" s="11"/>
      <c r="G721" s="11"/>
      <c r="H721" s="11"/>
    </row>
    <row r="722">
      <c r="A722" s="11"/>
      <c r="F722" s="11"/>
      <c r="G722" s="11"/>
      <c r="H722" s="11"/>
    </row>
    <row r="723">
      <c r="A723" s="11"/>
      <c r="F723" s="11"/>
      <c r="G723" s="11"/>
      <c r="H723" s="11"/>
    </row>
    <row r="724">
      <c r="A724" s="11"/>
      <c r="F724" s="11"/>
      <c r="G724" s="11"/>
      <c r="H724" s="11"/>
    </row>
    <row r="725">
      <c r="A725" s="11"/>
      <c r="F725" s="11"/>
      <c r="G725" s="11"/>
      <c r="H725" s="11"/>
    </row>
    <row r="726">
      <c r="A726" s="11"/>
      <c r="F726" s="11"/>
      <c r="G726" s="11"/>
      <c r="H726" s="11"/>
    </row>
    <row r="727">
      <c r="A727" s="11"/>
      <c r="F727" s="11"/>
      <c r="G727" s="11"/>
      <c r="H727" s="11"/>
    </row>
    <row r="728">
      <c r="A728" s="11"/>
      <c r="F728" s="11"/>
      <c r="G728" s="11"/>
      <c r="H728" s="11"/>
    </row>
    <row r="729">
      <c r="A729" s="11"/>
      <c r="F729" s="11"/>
      <c r="G729" s="11"/>
      <c r="H729" s="11"/>
    </row>
    <row r="730">
      <c r="A730" s="11"/>
      <c r="F730" s="11"/>
      <c r="G730" s="11"/>
      <c r="H730" s="11"/>
    </row>
    <row r="731">
      <c r="A731" s="11"/>
      <c r="F731" s="11"/>
      <c r="G731" s="11"/>
      <c r="H731" s="11"/>
    </row>
    <row r="732">
      <c r="A732" s="11"/>
      <c r="F732" s="11"/>
      <c r="G732" s="11"/>
      <c r="H732" s="11"/>
    </row>
    <row r="733">
      <c r="A733" s="11"/>
      <c r="F733" s="11"/>
      <c r="G733" s="11"/>
      <c r="H733" s="11"/>
    </row>
    <row r="734">
      <c r="A734" s="11"/>
      <c r="F734" s="11"/>
      <c r="G734" s="11"/>
      <c r="H734" s="11"/>
    </row>
    <row r="735">
      <c r="A735" s="11"/>
      <c r="F735" s="11"/>
      <c r="G735" s="11"/>
      <c r="H735" s="11"/>
    </row>
    <row r="736">
      <c r="A736" s="11"/>
      <c r="F736" s="11"/>
      <c r="G736" s="11"/>
      <c r="H736" s="11"/>
    </row>
    <row r="737">
      <c r="A737" s="11"/>
      <c r="F737" s="11"/>
      <c r="G737" s="11"/>
      <c r="H737" s="11"/>
    </row>
    <row r="738">
      <c r="A738" s="11"/>
      <c r="F738" s="11"/>
      <c r="G738" s="11"/>
      <c r="H738" s="11"/>
    </row>
    <row r="739">
      <c r="A739" s="11"/>
      <c r="F739" s="11"/>
      <c r="G739" s="11"/>
      <c r="H739" s="11"/>
    </row>
    <row r="740">
      <c r="A740" s="11"/>
      <c r="F740" s="11"/>
      <c r="G740" s="11"/>
      <c r="H740" s="11"/>
    </row>
    <row r="741">
      <c r="A741" s="11"/>
      <c r="F741" s="11"/>
      <c r="G741" s="11"/>
      <c r="H741" s="11"/>
    </row>
    <row r="742">
      <c r="A742" s="11"/>
      <c r="F742" s="11"/>
      <c r="G742" s="11"/>
      <c r="H742" s="11"/>
    </row>
    <row r="743">
      <c r="A743" s="11"/>
      <c r="F743" s="11"/>
      <c r="G743" s="11"/>
      <c r="H743" s="11"/>
    </row>
    <row r="744">
      <c r="A744" s="11"/>
      <c r="F744" s="11"/>
      <c r="G744" s="11"/>
      <c r="H744" s="11"/>
    </row>
    <row r="745">
      <c r="A745" s="11"/>
      <c r="F745" s="11"/>
      <c r="G745" s="11"/>
      <c r="H745" s="11"/>
    </row>
    <row r="746">
      <c r="A746" s="11"/>
      <c r="F746" s="11"/>
      <c r="G746" s="11"/>
      <c r="H746" s="11"/>
    </row>
    <row r="747">
      <c r="A747" s="11"/>
      <c r="F747" s="11"/>
      <c r="G747" s="11"/>
      <c r="H747" s="11"/>
    </row>
    <row r="748">
      <c r="A748" s="11"/>
      <c r="F748" s="11"/>
      <c r="G748" s="11"/>
      <c r="H748" s="11"/>
    </row>
    <row r="749">
      <c r="A749" s="11"/>
      <c r="F749" s="11"/>
      <c r="G749" s="11"/>
      <c r="H749" s="11"/>
    </row>
    <row r="750">
      <c r="A750" s="11"/>
      <c r="F750" s="11"/>
      <c r="G750" s="11"/>
      <c r="H750" s="11"/>
    </row>
    <row r="751">
      <c r="A751" s="11"/>
      <c r="F751" s="11"/>
      <c r="G751" s="11"/>
      <c r="H751" s="11"/>
    </row>
    <row r="752">
      <c r="A752" s="11"/>
      <c r="F752" s="11"/>
      <c r="G752" s="11"/>
      <c r="H752" s="11"/>
    </row>
    <row r="753">
      <c r="A753" s="11"/>
      <c r="F753" s="11"/>
      <c r="G753" s="11"/>
      <c r="H753" s="11"/>
    </row>
    <row r="754">
      <c r="A754" s="11"/>
      <c r="F754" s="11"/>
      <c r="G754" s="11"/>
      <c r="H754" s="11"/>
    </row>
    <row r="755">
      <c r="A755" s="11"/>
      <c r="F755" s="11"/>
      <c r="G755" s="11"/>
      <c r="H755" s="11"/>
    </row>
    <row r="756">
      <c r="A756" s="11"/>
      <c r="F756" s="11"/>
      <c r="G756" s="11"/>
      <c r="H756" s="11"/>
    </row>
    <row r="757">
      <c r="A757" s="11"/>
      <c r="F757" s="11"/>
      <c r="G757" s="11"/>
      <c r="H757" s="11"/>
    </row>
    <row r="758">
      <c r="A758" s="11"/>
      <c r="F758" s="11"/>
      <c r="G758" s="11"/>
      <c r="H758" s="11"/>
    </row>
    <row r="759">
      <c r="A759" s="11"/>
      <c r="F759" s="11"/>
      <c r="G759" s="11"/>
      <c r="H759" s="11"/>
    </row>
    <row r="760">
      <c r="A760" s="11"/>
      <c r="F760" s="11"/>
      <c r="G760" s="11"/>
      <c r="H760" s="11"/>
    </row>
    <row r="761">
      <c r="A761" s="11"/>
      <c r="F761" s="11"/>
      <c r="G761" s="11"/>
      <c r="H761" s="11"/>
    </row>
    <row r="762">
      <c r="A762" s="11"/>
      <c r="F762" s="11"/>
      <c r="G762" s="11"/>
      <c r="H762" s="11"/>
    </row>
    <row r="763">
      <c r="A763" s="11"/>
      <c r="F763" s="11"/>
      <c r="G763" s="11"/>
      <c r="H763" s="11"/>
    </row>
    <row r="764">
      <c r="A764" s="11"/>
      <c r="F764" s="11"/>
      <c r="G764" s="11"/>
      <c r="H764" s="11"/>
    </row>
    <row r="765">
      <c r="A765" s="11"/>
      <c r="F765" s="11"/>
      <c r="G765" s="11"/>
      <c r="H765" s="11"/>
    </row>
    <row r="766">
      <c r="A766" s="11"/>
      <c r="F766" s="11"/>
      <c r="G766" s="11"/>
      <c r="H766" s="11"/>
    </row>
    <row r="767">
      <c r="A767" s="11"/>
      <c r="F767" s="11"/>
      <c r="G767" s="11"/>
      <c r="H767" s="11"/>
    </row>
    <row r="768">
      <c r="A768" s="11"/>
      <c r="F768" s="11"/>
      <c r="G768" s="11"/>
      <c r="H768" s="11"/>
    </row>
    <row r="769">
      <c r="A769" s="11"/>
      <c r="F769" s="11"/>
      <c r="G769" s="11"/>
      <c r="H769" s="11"/>
    </row>
    <row r="770">
      <c r="A770" s="11"/>
      <c r="F770" s="11"/>
      <c r="G770" s="11"/>
      <c r="H770" s="11"/>
    </row>
    <row r="771">
      <c r="A771" s="11"/>
      <c r="F771" s="11"/>
      <c r="G771" s="11"/>
      <c r="H771" s="11"/>
    </row>
    <row r="772">
      <c r="A772" s="11"/>
      <c r="F772" s="11"/>
      <c r="G772" s="11"/>
      <c r="H772" s="11"/>
    </row>
    <row r="773">
      <c r="A773" s="11"/>
      <c r="F773" s="11"/>
      <c r="G773" s="11"/>
      <c r="H773" s="11"/>
    </row>
    <row r="774">
      <c r="A774" s="11"/>
      <c r="F774" s="11"/>
      <c r="G774" s="11"/>
      <c r="H774" s="11"/>
    </row>
    <row r="775">
      <c r="A775" s="11"/>
      <c r="F775" s="11"/>
      <c r="G775" s="11"/>
      <c r="H775" s="11"/>
    </row>
    <row r="776">
      <c r="A776" s="11"/>
      <c r="F776" s="11"/>
      <c r="G776" s="11"/>
      <c r="H776" s="11"/>
    </row>
    <row r="777">
      <c r="A777" s="11"/>
      <c r="F777" s="11"/>
      <c r="G777" s="11"/>
      <c r="H777" s="11"/>
    </row>
    <row r="778">
      <c r="A778" s="11"/>
      <c r="F778" s="11"/>
      <c r="G778" s="11"/>
      <c r="H778" s="11"/>
    </row>
    <row r="779">
      <c r="A779" s="11"/>
      <c r="F779" s="11"/>
      <c r="G779" s="11"/>
      <c r="H779" s="11"/>
    </row>
    <row r="780">
      <c r="A780" s="11"/>
      <c r="F780" s="11"/>
      <c r="G780" s="11"/>
      <c r="H780" s="11"/>
    </row>
    <row r="781">
      <c r="A781" s="11"/>
      <c r="F781" s="11"/>
      <c r="G781" s="11"/>
      <c r="H781" s="11"/>
    </row>
    <row r="782">
      <c r="A782" s="11"/>
      <c r="F782" s="11"/>
      <c r="G782" s="11"/>
      <c r="H782" s="11"/>
    </row>
    <row r="783">
      <c r="A783" s="11"/>
      <c r="F783" s="11"/>
      <c r="G783" s="11"/>
      <c r="H783" s="11"/>
    </row>
    <row r="784">
      <c r="A784" s="11"/>
      <c r="F784" s="11"/>
      <c r="G784" s="11"/>
      <c r="H784" s="11"/>
    </row>
    <row r="785">
      <c r="A785" s="11"/>
      <c r="F785" s="11"/>
      <c r="G785" s="11"/>
      <c r="H785" s="11"/>
    </row>
    <row r="786">
      <c r="A786" s="11"/>
      <c r="F786" s="11"/>
      <c r="G786" s="11"/>
      <c r="H786" s="11"/>
    </row>
    <row r="787">
      <c r="A787" s="11"/>
      <c r="F787" s="11"/>
      <c r="G787" s="11"/>
      <c r="H787" s="11"/>
    </row>
    <row r="788">
      <c r="A788" s="11"/>
      <c r="F788" s="11"/>
      <c r="G788" s="11"/>
      <c r="H788" s="11"/>
    </row>
    <row r="789">
      <c r="A789" s="11"/>
      <c r="F789" s="11"/>
      <c r="G789" s="11"/>
      <c r="H789" s="11"/>
    </row>
    <row r="790">
      <c r="A790" s="11"/>
      <c r="F790" s="11"/>
      <c r="G790" s="11"/>
      <c r="H790" s="11"/>
    </row>
    <row r="791">
      <c r="A791" s="11"/>
      <c r="F791" s="11"/>
      <c r="G791" s="11"/>
      <c r="H791" s="11"/>
    </row>
    <row r="792">
      <c r="A792" s="11"/>
      <c r="F792" s="11"/>
      <c r="G792" s="11"/>
      <c r="H792" s="11"/>
    </row>
    <row r="793">
      <c r="A793" s="11"/>
      <c r="F793" s="11"/>
      <c r="G793" s="11"/>
      <c r="H793" s="11"/>
    </row>
    <row r="794">
      <c r="A794" s="11"/>
      <c r="F794" s="11"/>
      <c r="G794" s="11"/>
      <c r="H794" s="11"/>
    </row>
    <row r="795">
      <c r="A795" s="11"/>
      <c r="F795" s="11"/>
      <c r="G795" s="11"/>
      <c r="H795" s="11"/>
    </row>
    <row r="796">
      <c r="A796" s="11"/>
      <c r="F796" s="11"/>
      <c r="G796" s="11"/>
      <c r="H796" s="11"/>
    </row>
    <row r="797">
      <c r="A797" s="11"/>
      <c r="F797" s="11"/>
      <c r="G797" s="11"/>
      <c r="H797" s="11"/>
    </row>
    <row r="798">
      <c r="A798" s="11"/>
      <c r="F798" s="11"/>
      <c r="G798" s="11"/>
      <c r="H798" s="11"/>
    </row>
    <row r="799">
      <c r="A799" s="11"/>
      <c r="F799" s="11"/>
      <c r="G799" s="11"/>
      <c r="H799" s="11"/>
    </row>
    <row r="800">
      <c r="A800" s="11"/>
      <c r="F800" s="11"/>
      <c r="G800" s="11"/>
      <c r="H800" s="11"/>
    </row>
    <row r="801">
      <c r="A801" s="11"/>
      <c r="F801" s="11"/>
      <c r="G801" s="11"/>
      <c r="H801" s="11"/>
    </row>
    <row r="802">
      <c r="A802" s="11"/>
      <c r="F802" s="11"/>
      <c r="G802" s="11"/>
      <c r="H802" s="11"/>
    </row>
    <row r="803">
      <c r="A803" s="11"/>
      <c r="F803" s="11"/>
      <c r="G803" s="11"/>
      <c r="H803" s="11"/>
    </row>
    <row r="804">
      <c r="A804" s="11"/>
      <c r="F804" s="11"/>
      <c r="G804" s="11"/>
      <c r="H804" s="11"/>
    </row>
    <row r="805">
      <c r="A805" s="11"/>
      <c r="F805" s="11"/>
      <c r="G805" s="11"/>
      <c r="H805" s="11"/>
    </row>
    <row r="806">
      <c r="A806" s="11"/>
      <c r="F806" s="11"/>
      <c r="G806" s="11"/>
      <c r="H806" s="11"/>
    </row>
    <row r="807">
      <c r="A807" s="11"/>
      <c r="F807" s="11"/>
      <c r="G807" s="11"/>
      <c r="H807" s="11"/>
    </row>
    <row r="808">
      <c r="A808" s="11"/>
      <c r="F808" s="11"/>
      <c r="G808" s="11"/>
      <c r="H808" s="11"/>
    </row>
    <row r="809">
      <c r="A809" s="11"/>
      <c r="F809" s="11"/>
      <c r="G809" s="11"/>
      <c r="H809" s="11"/>
    </row>
    <row r="810">
      <c r="A810" s="11"/>
      <c r="F810" s="11"/>
      <c r="G810" s="11"/>
      <c r="H810" s="11"/>
    </row>
    <row r="811">
      <c r="A811" s="11"/>
      <c r="F811" s="11"/>
      <c r="G811" s="11"/>
      <c r="H811" s="11"/>
    </row>
    <row r="812">
      <c r="A812" s="11"/>
      <c r="F812" s="11"/>
      <c r="G812" s="11"/>
      <c r="H812" s="11"/>
    </row>
    <row r="813">
      <c r="A813" s="11"/>
      <c r="F813" s="11"/>
      <c r="G813" s="11"/>
      <c r="H813" s="11"/>
    </row>
    <row r="814">
      <c r="A814" s="11"/>
      <c r="F814" s="11"/>
      <c r="G814" s="11"/>
      <c r="H814" s="11"/>
    </row>
    <row r="815">
      <c r="A815" s="11"/>
      <c r="F815" s="11"/>
      <c r="G815" s="11"/>
      <c r="H815" s="11"/>
    </row>
    <row r="816">
      <c r="A816" s="11"/>
      <c r="F816" s="11"/>
      <c r="G816" s="11"/>
      <c r="H816" s="11"/>
    </row>
    <row r="817">
      <c r="A817" s="11"/>
      <c r="F817" s="11"/>
      <c r="G817" s="11"/>
      <c r="H817" s="11"/>
    </row>
    <row r="818">
      <c r="A818" s="11"/>
      <c r="F818" s="11"/>
      <c r="G818" s="11"/>
      <c r="H818" s="11"/>
    </row>
    <row r="819">
      <c r="A819" s="11"/>
      <c r="F819" s="11"/>
      <c r="G819" s="11"/>
      <c r="H819" s="11"/>
    </row>
    <row r="820">
      <c r="A820" s="11"/>
      <c r="F820" s="11"/>
      <c r="G820" s="11"/>
      <c r="H820" s="11"/>
    </row>
    <row r="821">
      <c r="A821" s="11"/>
      <c r="F821" s="11"/>
      <c r="G821" s="11"/>
      <c r="H821" s="11"/>
    </row>
    <row r="822">
      <c r="A822" s="11"/>
      <c r="F822" s="11"/>
      <c r="G822" s="11"/>
      <c r="H822" s="11"/>
    </row>
    <row r="823">
      <c r="A823" s="11"/>
      <c r="F823" s="11"/>
      <c r="G823" s="11"/>
      <c r="H823" s="11"/>
    </row>
    <row r="824">
      <c r="A824" s="11"/>
      <c r="F824" s="11"/>
      <c r="G824" s="11"/>
      <c r="H824" s="11"/>
    </row>
    <row r="825">
      <c r="A825" s="11"/>
      <c r="F825" s="11"/>
      <c r="G825" s="11"/>
      <c r="H825" s="11"/>
    </row>
    <row r="826">
      <c r="A826" s="11"/>
      <c r="F826" s="11"/>
      <c r="G826" s="11"/>
      <c r="H826" s="11"/>
    </row>
    <row r="827">
      <c r="A827" s="11"/>
      <c r="F827" s="11"/>
      <c r="G827" s="11"/>
      <c r="H827" s="11"/>
    </row>
    <row r="828">
      <c r="A828" s="11"/>
      <c r="F828" s="11"/>
      <c r="G828" s="11"/>
      <c r="H828" s="11"/>
    </row>
    <row r="829">
      <c r="A829" s="11"/>
      <c r="F829" s="11"/>
      <c r="G829" s="11"/>
      <c r="H829" s="11"/>
    </row>
    <row r="830">
      <c r="A830" s="11"/>
      <c r="F830" s="11"/>
      <c r="G830" s="11"/>
      <c r="H830" s="11"/>
    </row>
    <row r="831">
      <c r="A831" s="11"/>
      <c r="F831" s="11"/>
      <c r="G831" s="11"/>
      <c r="H831" s="11"/>
    </row>
    <row r="832">
      <c r="A832" s="11"/>
      <c r="F832" s="11"/>
      <c r="G832" s="11"/>
      <c r="H832" s="11"/>
    </row>
    <row r="833">
      <c r="A833" s="11"/>
      <c r="F833" s="11"/>
      <c r="G833" s="11"/>
      <c r="H833" s="11"/>
    </row>
    <row r="834">
      <c r="A834" s="11"/>
      <c r="F834" s="11"/>
      <c r="G834" s="11"/>
      <c r="H834" s="11"/>
    </row>
    <row r="835">
      <c r="A835" s="11"/>
      <c r="F835" s="11"/>
      <c r="G835" s="11"/>
      <c r="H835" s="11"/>
    </row>
    <row r="836">
      <c r="A836" s="11"/>
      <c r="F836" s="11"/>
      <c r="G836" s="11"/>
      <c r="H836" s="11"/>
    </row>
    <row r="837">
      <c r="A837" s="11"/>
      <c r="F837" s="11"/>
      <c r="G837" s="11"/>
      <c r="H837" s="11"/>
    </row>
    <row r="838">
      <c r="A838" s="11"/>
      <c r="F838" s="11"/>
      <c r="G838" s="11"/>
      <c r="H838" s="11"/>
    </row>
    <row r="839">
      <c r="A839" s="11"/>
      <c r="F839" s="11"/>
      <c r="G839" s="11"/>
      <c r="H839" s="11"/>
    </row>
    <row r="840">
      <c r="A840" s="11"/>
      <c r="F840" s="11"/>
      <c r="G840" s="11"/>
      <c r="H840" s="11"/>
    </row>
    <row r="841">
      <c r="A841" s="11"/>
      <c r="F841" s="11"/>
      <c r="G841" s="11"/>
      <c r="H841" s="11"/>
    </row>
    <row r="842">
      <c r="A842" s="11"/>
      <c r="F842" s="11"/>
      <c r="G842" s="11"/>
      <c r="H842" s="11"/>
    </row>
    <row r="843">
      <c r="A843" s="11"/>
      <c r="F843" s="11"/>
      <c r="G843" s="11"/>
      <c r="H843" s="11"/>
    </row>
    <row r="844">
      <c r="A844" s="11"/>
      <c r="F844" s="11"/>
      <c r="G844" s="11"/>
      <c r="H844" s="11"/>
    </row>
    <row r="845">
      <c r="A845" s="11"/>
      <c r="F845" s="11"/>
      <c r="G845" s="11"/>
      <c r="H845" s="11"/>
    </row>
    <row r="846">
      <c r="A846" s="11"/>
      <c r="F846" s="11"/>
      <c r="G846" s="11"/>
      <c r="H846" s="11"/>
    </row>
    <row r="847">
      <c r="A847" s="11"/>
      <c r="F847" s="11"/>
      <c r="G847" s="11"/>
      <c r="H847" s="11"/>
    </row>
    <row r="848">
      <c r="A848" s="11"/>
      <c r="F848" s="11"/>
      <c r="G848" s="11"/>
      <c r="H848" s="11"/>
    </row>
    <row r="849">
      <c r="A849" s="11"/>
      <c r="F849" s="11"/>
      <c r="G849" s="11"/>
      <c r="H849" s="11"/>
    </row>
    <row r="850">
      <c r="A850" s="11"/>
      <c r="F850" s="11"/>
      <c r="G850" s="11"/>
      <c r="H850" s="11"/>
    </row>
    <row r="851">
      <c r="A851" s="11"/>
      <c r="F851" s="11"/>
      <c r="G851" s="11"/>
      <c r="H851" s="11"/>
    </row>
    <row r="852">
      <c r="A852" s="11"/>
      <c r="F852" s="11"/>
      <c r="G852" s="11"/>
      <c r="H852" s="11"/>
    </row>
    <row r="853">
      <c r="A853" s="11"/>
      <c r="F853" s="11"/>
      <c r="G853" s="11"/>
      <c r="H853" s="11"/>
    </row>
    <row r="854">
      <c r="A854" s="11"/>
      <c r="F854" s="11"/>
      <c r="G854" s="11"/>
      <c r="H854" s="11"/>
    </row>
    <row r="855">
      <c r="A855" s="11"/>
      <c r="F855" s="11"/>
      <c r="G855" s="11"/>
      <c r="H855" s="11"/>
    </row>
    <row r="856">
      <c r="A856" s="11"/>
      <c r="F856" s="11"/>
      <c r="G856" s="11"/>
      <c r="H856" s="11"/>
    </row>
    <row r="857">
      <c r="A857" s="11"/>
      <c r="F857" s="11"/>
      <c r="G857" s="11"/>
      <c r="H857" s="11"/>
    </row>
    <row r="858">
      <c r="A858" s="11"/>
      <c r="F858" s="11"/>
      <c r="G858" s="11"/>
      <c r="H858" s="11"/>
    </row>
    <row r="859">
      <c r="A859" s="11"/>
      <c r="F859" s="11"/>
      <c r="G859" s="11"/>
      <c r="H859" s="11"/>
    </row>
    <row r="860">
      <c r="A860" s="11"/>
      <c r="F860" s="11"/>
      <c r="G860" s="11"/>
      <c r="H860" s="11"/>
    </row>
    <row r="861">
      <c r="A861" s="11"/>
      <c r="F861" s="11"/>
      <c r="G861" s="11"/>
      <c r="H861" s="11"/>
    </row>
    <row r="862">
      <c r="A862" s="11"/>
      <c r="F862" s="11"/>
      <c r="G862" s="11"/>
      <c r="H862" s="11"/>
    </row>
    <row r="863">
      <c r="A863" s="11"/>
      <c r="F863" s="11"/>
      <c r="G863" s="11"/>
      <c r="H863" s="11"/>
    </row>
    <row r="864">
      <c r="A864" s="11"/>
      <c r="F864" s="11"/>
      <c r="G864" s="11"/>
      <c r="H864" s="11"/>
    </row>
    <row r="865">
      <c r="A865" s="11"/>
      <c r="F865" s="11"/>
      <c r="G865" s="11"/>
      <c r="H865" s="11"/>
    </row>
    <row r="866">
      <c r="A866" s="11"/>
      <c r="F866" s="11"/>
      <c r="G866" s="11"/>
      <c r="H866" s="11"/>
    </row>
    <row r="867">
      <c r="A867" s="11"/>
      <c r="F867" s="11"/>
      <c r="G867" s="11"/>
      <c r="H867" s="11"/>
    </row>
    <row r="868">
      <c r="A868" s="11"/>
      <c r="F868" s="11"/>
      <c r="G868" s="11"/>
      <c r="H868" s="11"/>
    </row>
    <row r="869">
      <c r="A869" s="11"/>
      <c r="F869" s="11"/>
      <c r="G869" s="11"/>
      <c r="H869" s="11"/>
    </row>
    <row r="870">
      <c r="A870" s="11"/>
      <c r="F870" s="11"/>
      <c r="G870" s="11"/>
      <c r="H870" s="11"/>
    </row>
    <row r="871">
      <c r="A871" s="11"/>
      <c r="F871" s="11"/>
      <c r="G871" s="11"/>
      <c r="H871" s="11"/>
    </row>
    <row r="872">
      <c r="A872" s="11"/>
      <c r="F872" s="11"/>
      <c r="G872" s="11"/>
      <c r="H872" s="11"/>
    </row>
    <row r="873">
      <c r="A873" s="11"/>
      <c r="F873" s="11"/>
      <c r="G873" s="11"/>
      <c r="H873" s="11"/>
    </row>
    <row r="874">
      <c r="A874" s="11"/>
      <c r="F874" s="11"/>
      <c r="G874" s="11"/>
      <c r="H874" s="11"/>
    </row>
    <row r="875">
      <c r="A875" s="11"/>
      <c r="F875" s="11"/>
      <c r="G875" s="11"/>
      <c r="H875" s="11"/>
    </row>
    <row r="876">
      <c r="A876" s="11"/>
      <c r="F876" s="11"/>
      <c r="G876" s="11"/>
      <c r="H876" s="11"/>
    </row>
    <row r="877">
      <c r="A877" s="11"/>
      <c r="F877" s="11"/>
      <c r="G877" s="11"/>
      <c r="H877" s="11"/>
    </row>
    <row r="878">
      <c r="A878" s="11"/>
      <c r="F878" s="11"/>
      <c r="G878" s="11"/>
      <c r="H878" s="11"/>
    </row>
    <row r="879">
      <c r="A879" s="11"/>
      <c r="F879" s="11"/>
      <c r="G879" s="11"/>
      <c r="H879" s="11"/>
    </row>
    <row r="880">
      <c r="A880" s="11"/>
      <c r="F880" s="11"/>
      <c r="G880" s="11"/>
      <c r="H880" s="11"/>
    </row>
    <row r="881">
      <c r="A881" s="11"/>
      <c r="F881" s="11"/>
      <c r="G881" s="11"/>
      <c r="H881" s="11"/>
    </row>
    <row r="882">
      <c r="A882" s="11"/>
      <c r="F882" s="11"/>
      <c r="G882" s="11"/>
      <c r="H882" s="11"/>
    </row>
    <row r="883">
      <c r="A883" s="11"/>
      <c r="F883" s="11"/>
      <c r="G883" s="11"/>
      <c r="H883" s="11"/>
    </row>
    <row r="884">
      <c r="A884" s="11"/>
      <c r="F884" s="11"/>
      <c r="G884" s="11"/>
      <c r="H884" s="11"/>
    </row>
    <row r="885">
      <c r="A885" s="11"/>
      <c r="F885" s="11"/>
      <c r="G885" s="11"/>
      <c r="H885" s="11"/>
    </row>
    <row r="886">
      <c r="A886" s="11"/>
      <c r="F886" s="11"/>
      <c r="G886" s="11"/>
      <c r="H886" s="11"/>
    </row>
    <row r="887">
      <c r="A887" s="11"/>
      <c r="F887" s="11"/>
      <c r="G887" s="11"/>
      <c r="H887" s="11"/>
    </row>
    <row r="888">
      <c r="A888" s="11"/>
      <c r="F888" s="11"/>
      <c r="G888" s="11"/>
      <c r="H888" s="11"/>
    </row>
    <row r="889">
      <c r="A889" s="11"/>
      <c r="F889" s="11"/>
      <c r="G889" s="11"/>
      <c r="H889" s="11"/>
    </row>
    <row r="890">
      <c r="A890" s="11"/>
      <c r="F890" s="11"/>
      <c r="G890" s="11"/>
      <c r="H890" s="11"/>
    </row>
    <row r="891">
      <c r="A891" s="11"/>
      <c r="F891" s="11"/>
      <c r="G891" s="11"/>
      <c r="H891" s="11"/>
    </row>
    <row r="892">
      <c r="A892" s="11"/>
      <c r="F892" s="11"/>
      <c r="G892" s="11"/>
      <c r="H892" s="11"/>
    </row>
    <row r="893">
      <c r="A893" s="11"/>
      <c r="F893" s="11"/>
      <c r="G893" s="11"/>
      <c r="H893" s="11"/>
    </row>
    <row r="894">
      <c r="A894" s="11"/>
      <c r="F894" s="11"/>
      <c r="G894" s="11"/>
      <c r="H894" s="11"/>
    </row>
    <row r="895">
      <c r="A895" s="11"/>
      <c r="F895" s="11"/>
      <c r="G895" s="11"/>
      <c r="H895" s="11"/>
    </row>
    <row r="896">
      <c r="A896" s="11"/>
      <c r="F896" s="11"/>
      <c r="G896" s="11"/>
      <c r="H896" s="11"/>
    </row>
    <row r="897">
      <c r="A897" s="11"/>
      <c r="F897" s="11"/>
      <c r="G897" s="11"/>
      <c r="H897" s="11"/>
    </row>
    <row r="898">
      <c r="A898" s="11"/>
      <c r="F898" s="11"/>
      <c r="G898" s="11"/>
      <c r="H898" s="11"/>
    </row>
    <row r="899">
      <c r="A899" s="11"/>
      <c r="F899" s="11"/>
      <c r="G899" s="11"/>
      <c r="H899" s="11"/>
    </row>
    <row r="900">
      <c r="A900" s="11"/>
      <c r="F900" s="11"/>
      <c r="G900" s="11"/>
      <c r="H900" s="11"/>
    </row>
    <row r="901">
      <c r="A901" s="11"/>
      <c r="F901" s="11"/>
      <c r="G901" s="11"/>
      <c r="H901" s="11"/>
    </row>
    <row r="902">
      <c r="A902" s="11"/>
      <c r="F902" s="11"/>
      <c r="G902" s="11"/>
      <c r="H902" s="11"/>
    </row>
    <row r="903">
      <c r="A903" s="11"/>
      <c r="F903" s="11"/>
      <c r="G903" s="11"/>
      <c r="H903" s="11"/>
    </row>
    <row r="904">
      <c r="A904" s="11"/>
      <c r="F904" s="11"/>
      <c r="G904" s="11"/>
      <c r="H904" s="11"/>
    </row>
    <row r="905">
      <c r="A905" s="11"/>
      <c r="F905" s="11"/>
      <c r="G905" s="11"/>
      <c r="H905" s="11"/>
    </row>
    <row r="906">
      <c r="A906" s="11"/>
      <c r="F906" s="11"/>
      <c r="G906" s="11"/>
      <c r="H906" s="11"/>
    </row>
    <row r="907">
      <c r="A907" s="11"/>
      <c r="F907" s="11"/>
      <c r="G907" s="11"/>
      <c r="H907" s="11"/>
    </row>
    <row r="908">
      <c r="A908" s="11"/>
      <c r="F908" s="11"/>
      <c r="G908" s="11"/>
      <c r="H908" s="11"/>
    </row>
    <row r="909">
      <c r="A909" s="11"/>
      <c r="F909" s="11"/>
      <c r="G909" s="11"/>
      <c r="H909" s="11"/>
    </row>
    <row r="910">
      <c r="A910" s="11"/>
      <c r="F910" s="11"/>
      <c r="G910" s="11"/>
      <c r="H910" s="11"/>
    </row>
    <row r="911">
      <c r="A911" s="11"/>
      <c r="F911" s="11"/>
      <c r="G911" s="11"/>
      <c r="H911" s="11"/>
    </row>
    <row r="912">
      <c r="A912" s="11"/>
      <c r="F912" s="11"/>
      <c r="G912" s="11"/>
      <c r="H912" s="11"/>
    </row>
    <row r="913">
      <c r="A913" s="11"/>
      <c r="F913" s="11"/>
      <c r="G913" s="11"/>
      <c r="H913" s="11"/>
    </row>
    <row r="914">
      <c r="A914" s="11"/>
      <c r="F914" s="11"/>
      <c r="G914" s="11"/>
      <c r="H914" s="11"/>
    </row>
    <row r="915">
      <c r="A915" s="11"/>
      <c r="F915" s="11"/>
      <c r="G915" s="11"/>
      <c r="H915" s="11"/>
    </row>
    <row r="916">
      <c r="A916" s="11"/>
      <c r="F916" s="11"/>
      <c r="G916" s="11"/>
      <c r="H916" s="11"/>
    </row>
    <row r="917">
      <c r="A917" s="11"/>
      <c r="F917" s="11"/>
      <c r="G917" s="11"/>
      <c r="H917" s="11"/>
    </row>
    <row r="918">
      <c r="A918" s="11"/>
      <c r="F918" s="11"/>
      <c r="G918" s="11"/>
      <c r="H918" s="11"/>
    </row>
    <row r="919">
      <c r="A919" s="11"/>
      <c r="F919" s="11"/>
      <c r="G919" s="11"/>
      <c r="H919" s="11"/>
    </row>
    <row r="920">
      <c r="A920" s="11"/>
      <c r="F920" s="11"/>
      <c r="G920" s="11"/>
      <c r="H920" s="11"/>
    </row>
    <row r="921">
      <c r="A921" s="11"/>
      <c r="F921" s="11"/>
      <c r="G921" s="11"/>
      <c r="H921" s="11"/>
    </row>
    <row r="922">
      <c r="A922" s="11"/>
      <c r="F922" s="11"/>
      <c r="G922" s="11"/>
      <c r="H922" s="11"/>
    </row>
    <row r="923">
      <c r="A923" s="11"/>
      <c r="F923" s="11"/>
      <c r="G923" s="11"/>
      <c r="H923" s="11"/>
    </row>
    <row r="924">
      <c r="A924" s="11"/>
      <c r="F924" s="11"/>
      <c r="G924" s="11"/>
      <c r="H924" s="11"/>
    </row>
    <row r="925">
      <c r="A925" s="11"/>
      <c r="F925" s="11"/>
      <c r="G925" s="11"/>
      <c r="H925" s="11"/>
    </row>
    <row r="926">
      <c r="A926" s="11"/>
      <c r="F926" s="11"/>
      <c r="G926" s="11"/>
      <c r="H926" s="11"/>
    </row>
    <row r="927">
      <c r="A927" s="11"/>
      <c r="F927" s="11"/>
      <c r="G927" s="11"/>
      <c r="H927" s="11"/>
    </row>
    <row r="928">
      <c r="A928" s="11"/>
      <c r="F928" s="11"/>
      <c r="G928" s="11"/>
      <c r="H928" s="11"/>
    </row>
    <row r="929">
      <c r="A929" s="11"/>
      <c r="F929" s="11"/>
      <c r="G929" s="11"/>
      <c r="H929" s="11"/>
    </row>
    <row r="930">
      <c r="A930" s="11"/>
      <c r="F930" s="11"/>
      <c r="G930" s="11"/>
      <c r="H930" s="11"/>
    </row>
    <row r="931">
      <c r="A931" s="11"/>
      <c r="F931" s="11"/>
      <c r="G931" s="11"/>
      <c r="H931" s="11"/>
    </row>
    <row r="932">
      <c r="A932" s="11"/>
      <c r="F932" s="11"/>
      <c r="G932" s="11"/>
      <c r="H932" s="11"/>
    </row>
    <row r="933">
      <c r="A933" s="11"/>
      <c r="F933" s="11"/>
      <c r="G933" s="11"/>
      <c r="H933" s="11"/>
    </row>
    <row r="934">
      <c r="A934" s="11"/>
      <c r="F934" s="11"/>
      <c r="G934" s="11"/>
      <c r="H934" s="11"/>
    </row>
    <row r="935">
      <c r="A935" s="11"/>
      <c r="F935" s="11"/>
      <c r="G935" s="11"/>
      <c r="H935" s="11"/>
    </row>
    <row r="936">
      <c r="A936" s="11"/>
      <c r="F936" s="11"/>
      <c r="G936" s="11"/>
      <c r="H936" s="11"/>
    </row>
    <row r="937">
      <c r="A937" s="11"/>
      <c r="F937" s="11"/>
      <c r="G937" s="11"/>
      <c r="H937" s="11"/>
    </row>
    <row r="938">
      <c r="A938" s="11"/>
      <c r="F938" s="11"/>
      <c r="G938" s="11"/>
      <c r="H938" s="11"/>
    </row>
    <row r="939">
      <c r="A939" s="11"/>
      <c r="F939" s="11"/>
      <c r="G939" s="11"/>
      <c r="H939" s="11"/>
    </row>
    <row r="940">
      <c r="A940" s="11"/>
      <c r="F940" s="11"/>
      <c r="G940" s="11"/>
      <c r="H940" s="11"/>
    </row>
    <row r="941">
      <c r="A941" s="11"/>
      <c r="F941" s="11"/>
      <c r="G941" s="11"/>
      <c r="H941" s="11"/>
    </row>
    <row r="942">
      <c r="A942" s="11"/>
      <c r="F942" s="11"/>
      <c r="G942" s="11"/>
      <c r="H942" s="11"/>
    </row>
    <row r="943">
      <c r="A943" s="11"/>
      <c r="F943" s="11"/>
      <c r="G943" s="11"/>
      <c r="H943" s="11"/>
    </row>
    <row r="944">
      <c r="A944" s="11"/>
      <c r="F944" s="11"/>
      <c r="G944" s="11"/>
      <c r="H944" s="11"/>
    </row>
    <row r="945">
      <c r="A945" s="11"/>
      <c r="F945" s="11"/>
      <c r="G945" s="11"/>
      <c r="H945" s="11"/>
    </row>
    <row r="946">
      <c r="A946" s="11"/>
      <c r="F946" s="11"/>
      <c r="G946" s="11"/>
      <c r="H946" s="11"/>
    </row>
    <row r="947">
      <c r="A947" s="11"/>
      <c r="F947" s="11"/>
      <c r="G947" s="11"/>
      <c r="H947" s="11"/>
    </row>
    <row r="948">
      <c r="A948" s="11"/>
      <c r="F948" s="11"/>
      <c r="G948" s="11"/>
      <c r="H948" s="11"/>
    </row>
    <row r="949">
      <c r="A949" s="11"/>
      <c r="F949" s="11"/>
      <c r="G949" s="11"/>
      <c r="H949" s="11"/>
    </row>
    <row r="950">
      <c r="A950" s="11"/>
      <c r="F950" s="11"/>
      <c r="G950" s="11"/>
      <c r="H950" s="11"/>
    </row>
    <row r="951">
      <c r="A951" s="11"/>
      <c r="F951" s="11"/>
      <c r="G951" s="11"/>
      <c r="H951" s="11"/>
    </row>
    <row r="952">
      <c r="A952" s="11"/>
      <c r="F952" s="11"/>
      <c r="G952" s="11"/>
      <c r="H952" s="11"/>
    </row>
    <row r="953">
      <c r="A953" s="11"/>
      <c r="F953" s="11"/>
      <c r="G953" s="11"/>
      <c r="H953" s="11"/>
    </row>
    <row r="954">
      <c r="A954" s="11"/>
      <c r="F954" s="11"/>
      <c r="G954" s="11"/>
      <c r="H954" s="11"/>
    </row>
    <row r="955">
      <c r="A955" s="11"/>
      <c r="F955" s="11"/>
      <c r="G955" s="11"/>
      <c r="H955" s="11"/>
    </row>
    <row r="956">
      <c r="A956" s="11"/>
      <c r="F956" s="11"/>
      <c r="G956" s="11"/>
      <c r="H956" s="11"/>
    </row>
    <row r="957">
      <c r="A957" s="11"/>
      <c r="F957" s="11"/>
      <c r="G957" s="11"/>
      <c r="H957" s="11"/>
    </row>
    <row r="958">
      <c r="A958" s="11"/>
      <c r="F958" s="11"/>
      <c r="G958" s="11"/>
      <c r="H958" s="11"/>
    </row>
    <row r="959">
      <c r="A959" s="11"/>
      <c r="F959" s="11"/>
      <c r="G959" s="11"/>
      <c r="H959" s="11"/>
    </row>
    <row r="960">
      <c r="A960" s="11"/>
      <c r="F960" s="11"/>
      <c r="G960" s="11"/>
      <c r="H960" s="11"/>
    </row>
    <row r="961">
      <c r="A961" s="11"/>
      <c r="F961" s="11"/>
      <c r="G961" s="11"/>
      <c r="H961" s="11"/>
    </row>
    <row r="962">
      <c r="A962" s="11"/>
      <c r="F962" s="11"/>
      <c r="G962" s="11"/>
      <c r="H962" s="11"/>
    </row>
    <row r="963">
      <c r="A963" s="11"/>
      <c r="F963" s="11"/>
      <c r="G963" s="11"/>
      <c r="H963" s="11"/>
    </row>
    <row r="964">
      <c r="A964" s="11"/>
      <c r="F964" s="11"/>
      <c r="G964" s="11"/>
      <c r="H964" s="11"/>
    </row>
    <row r="965">
      <c r="A965" s="11"/>
      <c r="F965" s="11"/>
      <c r="G965" s="11"/>
      <c r="H965" s="11"/>
    </row>
    <row r="966">
      <c r="A966" s="11"/>
      <c r="F966" s="11"/>
      <c r="G966" s="11"/>
      <c r="H966" s="11"/>
    </row>
    <row r="967">
      <c r="A967" s="11"/>
      <c r="F967" s="11"/>
      <c r="G967" s="11"/>
      <c r="H967" s="11"/>
    </row>
    <row r="968">
      <c r="A968" s="11"/>
      <c r="F968" s="11"/>
      <c r="G968" s="11"/>
      <c r="H968" s="11"/>
    </row>
    <row r="969">
      <c r="A969" s="11"/>
      <c r="F969" s="11"/>
      <c r="G969" s="11"/>
      <c r="H969" s="11"/>
    </row>
    <row r="970">
      <c r="A970" s="11"/>
      <c r="F970" s="11"/>
      <c r="G970" s="11"/>
      <c r="H970" s="11"/>
    </row>
    <row r="971">
      <c r="A971" s="11"/>
      <c r="F971" s="11"/>
      <c r="G971" s="11"/>
      <c r="H971" s="11"/>
    </row>
    <row r="972">
      <c r="A972" s="11"/>
      <c r="F972" s="11"/>
      <c r="G972" s="11"/>
      <c r="H972" s="11"/>
    </row>
    <row r="973">
      <c r="A973" s="11"/>
      <c r="F973" s="11"/>
      <c r="G973" s="11"/>
      <c r="H973" s="11"/>
    </row>
    <row r="974">
      <c r="A974" s="11"/>
      <c r="F974" s="11"/>
      <c r="G974" s="11"/>
      <c r="H974" s="11"/>
    </row>
    <row r="975">
      <c r="A975" s="11"/>
      <c r="F975" s="11"/>
      <c r="G975" s="11"/>
      <c r="H975" s="11"/>
    </row>
    <row r="976">
      <c r="A976" s="11"/>
      <c r="F976" s="11"/>
      <c r="G976" s="11"/>
      <c r="H976" s="11"/>
    </row>
    <row r="977">
      <c r="A977" s="11"/>
      <c r="F977" s="11"/>
      <c r="G977" s="11"/>
      <c r="H977" s="11"/>
    </row>
    <row r="978">
      <c r="A978" s="11"/>
      <c r="F978" s="11"/>
      <c r="G978" s="11"/>
      <c r="H978" s="11"/>
    </row>
    <row r="979">
      <c r="A979" s="11"/>
      <c r="F979" s="11"/>
      <c r="G979" s="11"/>
      <c r="H979" s="11"/>
    </row>
    <row r="980">
      <c r="A980" s="11"/>
      <c r="F980" s="11"/>
      <c r="G980" s="11"/>
      <c r="H980" s="11"/>
    </row>
    <row r="981">
      <c r="A981" s="11"/>
      <c r="F981" s="11"/>
      <c r="G981" s="11"/>
      <c r="H981" s="11"/>
    </row>
    <row r="982">
      <c r="A982" s="11"/>
      <c r="F982" s="11"/>
      <c r="G982" s="11"/>
      <c r="H982" s="11"/>
    </row>
    <row r="983">
      <c r="A983" s="11"/>
      <c r="F983" s="11"/>
      <c r="G983" s="11"/>
      <c r="H983" s="11"/>
    </row>
    <row r="984">
      <c r="A984" s="11"/>
      <c r="F984" s="11"/>
      <c r="G984" s="11"/>
      <c r="H984" s="11"/>
    </row>
    <row r="985">
      <c r="A985" s="11"/>
      <c r="F985" s="11"/>
      <c r="G985" s="11"/>
      <c r="H985" s="11"/>
    </row>
    <row r="986">
      <c r="A986" s="11"/>
      <c r="F986" s="11"/>
      <c r="G986" s="11"/>
      <c r="H986" s="11"/>
    </row>
    <row r="987">
      <c r="A987" s="11"/>
      <c r="F987" s="11"/>
      <c r="G987" s="11"/>
      <c r="H987" s="11"/>
    </row>
    <row r="988">
      <c r="A988" s="11"/>
      <c r="F988" s="11"/>
      <c r="G988" s="11"/>
      <c r="H988" s="11"/>
    </row>
    <row r="989">
      <c r="A989" s="11"/>
      <c r="F989" s="11"/>
      <c r="G989" s="11"/>
      <c r="H989" s="11"/>
    </row>
    <row r="990">
      <c r="A990" s="11"/>
      <c r="F990" s="11"/>
      <c r="G990" s="11"/>
      <c r="H990" s="11"/>
    </row>
    <row r="991">
      <c r="A991" s="11"/>
      <c r="F991" s="11"/>
      <c r="G991" s="11"/>
      <c r="H991" s="11"/>
    </row>
    <row r="992">
      <c r="A992" s="11"/>
      <c r="F992" s="11"/>
      <c r="G992" s="11"/>
      <c r="H992" s="11"/>
    </row>
    <row r="993">
      <c r="A993" s="11"/>
      <c r="F993" s="11"/>
      <c r="G993" s="11"/>
      <c r="H993" s="11"/>
    </row>
    <row r="994">
      <c r="A994" s="11"/>
      <c r="F994" s="11"/>
      <c r="G994" s="11"/>
      <c r="H994" s="11"/>
    </row>
    <row r="995">
      <c r="A995" s="11"/>
      <c r="F995" s="11"/>
      <c r="G995" s="11"/>
      <c r="H995" s="11"/>
    </row>
    <row r="996">
      <c r="A996" s="11"/>
      <c r="F996" s="11"/>
      <c r="G996" s="11"/>
      <c r="H996" s="11"/>
    </row>
    <row r="997">
      <c r="A997" s="11"/>
      <c r="F997" s="11"/>
      <c r="G997" s="11"/>
      <c r="H997" s="11"/>
    </row>
    <row r="998">
      <c r="A998" s="11"/>
      <c r="F998" s="11"/>
      <c r="G998" s="11"/>
      <c r="H998" s="11"/>
    </row>
    <row r="999">
      <c r="A999" s="11"/>
      <c r="F999" s="11"/>
      <c r="G999" s="11"/>
      <c r="H999" s="11"/>
    </row>
    <row r="1000">
      <c r="A1000" s="11"/>
      <c r="F1000" s="11"/>
      <c r="G1000" s="11"/>
      <c r="H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25"/>
    <col customWidth="1" min="13" max="13" width="78.25"/>
  </cols>
  <sheetData>
    <row r="1">
      <c r="A1" s="2" t="s">
        <v>1349</v>
      </c>
      <c r="B1" s="2" t="s">
        <v>1</v>
      </c>
      <c r="C1" s="2" t="s">
        <v>2</v>
      </c>
      <c r="D1" s="2" t="s">
        <v>3</v>
      </c>
      <c r="E1" s="2" t="s">
        <v>4</v>
      </c>
      <c r="F1" s="1" t="s">
        <v>1350</v>
      </c>
      <c r="G1" s="1" t="s">
        <v>6</v>
      </c>
      <c r="H1" s="1" t="s">
        <v>7</v>
      </c>
      <c r="I1" s="2" t="s">
        <v>8</v>
      </c>
      <c r="J1" s="2" t="s">
        <v>9</v>
      </c>
      <c r="K1" s="2" t="s">
        <v>1351</v>
      </c>
      <c r="L1" s="2" t="s">
        <v>1352</v>
      </c>
      <c r="M1" s="2" t="s">
        <v>10</v>
      </c>
      <c r="W1" s="2" t="s">
        <v>705</v>
      </c>
      <c r="Z1" s="2"/>
      <c r="AA1" s="2" t="s">
        <v>706</v>
      </c>
    </row>
    <row r="2">
      <c r="A2" s="29">
        <v>45429.0</v>
      </c>
      <c r="B2" s="4" t="s">
        <v>13</v>
      </c>
      <c r="C2" s="4" t="s">
        <v>14</v>
      </c>
      <c r="D2" s="4" t="s">
        <v>1353</v>
      </c>
      <c r="E2" s="4" t="s">
        <v>25</v>
      </c>
      <c r="F2" s="4">
        <v>6000.0</v>
      </c>
      <c r="G2" s="4">
        <v>90.0</v>
      </c>
      <c r="H2" s="4">
        <v>0.0</v>
      </c>
      <c r="I2" s="4" t="s">
        <v>19</v>
      </c>
      <c r="J2" s="4" t="s">
        <v>1354</v>
      </c>
      <c r="K2" s="4">
        <v>38.0</v>
      </c>
      <c r="L2" s="4">
        <v>2618.0</v>
      </c>
      <c r="M2" s="4" t="s">
        <v>1355</v>
      </c>
      <c r="W2" s="4" t="s">
        <v>1093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v>45196.0</v>
      </c>
      <c r="B1" s="4" t="s">
        <v>13</v>
      </c>
      <c r="C1" s="4" t="s">
        <v>90</v>
      </c>
      <c r="D1" s="4" t="s">
        <v>745</v>
      </c>
      <c r="E1" s="4" t="s">
        <v>746</v>
      </c>
      <c r="F1" s="3" t="s">
        <v>781</v>
      </c>
      <c r="G1" s="3" t="s">
        <v>166</v>
      </c>
      <c r="H1" s="4" t="s">
        <v>1356</v>
      </c>
      <c r="K1" s="4" t="s">
        <v>1357</v>
      </c>
      <c r="R1" s="4">
        <v>1.0</v>
      </c>
    </row>
    <row r="2">
      <c r="A2" s="30">
        <v>45203.0</v>
      </c>
      <c r="B2" s="4" t="s">
        <v>13</v>
      </c>
      <c r="C2" s="4" t="s">
        <v>113</v>
      </c>
      <c r="D2" s="4" t="s">
        <v>802</v>
      </c>
      <c r="E2" s="4" t="s">
        <v>803</v>
      </c>
      <c r="F2" s="3" t="s">
        <v>804</v>
      </c>
      <c r="G2" s="3" t="s">
        <v>725</v>
      </c>
      <c r="H2" s="4" t="s">
        <v>1358</v>
      </c>
      <c r="R2" s="4">
        <v>1.0</v>
      </c>
    </row>
    <row r="3">
      <c r="A3" s="29">
        <v>45210.0</v>
      </c>
      <c r="B3" s="4" t="s">
        <v>13</v>
      </c>
      <c r="C3" s="4" t="s">
        <v>137</v>
      </c>
      <c r="D3" s="4" t="s">
        <v>740</v>
      </c>
      <c r="E3" s="4" t="s">
        <v>312</v>
      </c>
      <c r="F3" s="3" t="s">
        <v>804</v>
      </c>
      <c r="G3" s="3" t="s">
        <v>810</v>
      </c>
      <c r="H3" s="4" t="s">
        <v>1359</v>
      </c>
      <c r="O3" s="4" t="s">
        <v>1360</v>
      </c>
      <c r="R3" s="4">
        <v>2.0</v>
      </c>
    </row>
    <row r="4">
      <c r="A4" s="30">
        <v>45239.0</v>
      </c>
      <c r="B4" s="4" t="s">
        <v>13</v>
      </c>
      <c r="C4" s="4" t="s">
        <v>204</v>
      </c>
      <c r="D4" s="4" t="s">
        <v>876</v>
      </c>
      <c r="E4" s="4" t="s">
        <v>877</v>
      </c>
      <c r="F4" s="3" t="s">
        <v>888</v>
      </c>
      <c r="G4" s="3" t="s">
        <v>36</v>
      </c>
      <c r="H4" s="4" t="s">
        <v>1361</v>
      </c>
      <c r="R4" s="4">
        <v>1.0</v>
      </c>
    </row>
    <row r="5">
      <c r="A5" s="29">
        <v>45272.0</v>
      </c>
      <c r="B5" s="4" t="s">
        <v>246</v>
      </c>
      <c r="C5" s="4" t="s">
        <v>70</v>
      </c>
      <c r="D5" s="4" t="s">
        <v>924</v>
      </c>
      <c r="E5" s="4" t="s">
        <v>925</v>
      </c>
      <c r="F5" s="3" t="s">
        <v>944</v>
      </c>
      <c r="G5" s="3" t="s">
        <v>36</v>
      </c>
      <c r="H5" s="2" t="s">
        <v>1362</v>
      </c>
      <c r="R5" s="4">
        <v>3.0</v>
      </c>
    </row>
    <row r="6">
      <c r="A6" s="29">
        <v>45307.0</v>
      </c>
      <c r="B6" s="4" t="s">
        <v>246</v>
      </c>
      <c r="C6" s="4" t="s">
        <v>137</v>
      </c>
      <c r="D6" s="4" t="s">
        <v>991</v>
      </c>
      <c r="E6" s="4" t="s">
        <v>992</v>
      </c>
      <c r="F6" s="3" t="s">
        <v>993</v>
      </c>
      <c r="G6" s="3" t="s">
        <v>341</v>
      </c>
      <c r="H6" s="2" t="s">
        <v>1363</v>
      </c>
      <c r="R6" s="4">
        <v>3.0</v>
      </c>
      <c r="S6" s="2" t="s">
        <v>1364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8" width="29.38"/>
    <col customWidth="1" min="9" max="9" width="44.13"/>
    <col customWidth="1" min="10" max="12" width="29.25"/>
    <col customWidth="1" min="13" max="13" width="31.5"/>
    <col customWidth="1" min="14" max="14" width="35.88"/>
    <col customWidth="1" min="15" max="15" width="29.38"/>
    <col customWidth="1" min="16" max="16" width="32.5"/>
  </cols>
  <sheetData>
    <row r="1">
      <c r="A1" s="31" t="s">
        <v>0</v>
      </c>
      <c r="B1" s="31" t="s">
        <v>1365</v>
      </c>
      <c r="C1" s="31" t="s">
        <v>3</v>
      </c>
      <c r="D1" s="32" t="s">
        <v>1366</v>
      </c>
      <c r="E1" s="33" t="s">
        <v>1367</v>
      </c>
      <c r="F1" s="31" t="s">
        <v>9</v>
      </c>
      <c r="G1" s="34" t="s">
        <v>1368</v>
      </c>
      <c r="H1" s="34" t="s">
        <v>1369</v>
      </c>
      <c r="I1" s="34" t="s">
        <v>1370</v>
      </c>
      <c r="J1" s="34" t="s">
        <v>1371</v>
      </c>
      <c r="K1" s="34" t="s">
        <v>1372</v>
      </c>
      <c r="L1" s="34" t="s">
        <v>1373</v>
      </c>
      <c r="M1" s="35" t="s">
        <v>1374</v>
      </c>
      <c r="N1" s="34" t="s">
        <v>1375</v>
      </c>
      <c r="O1" s="36" t="s">
        <v>1376</v>
      </c>
      <c r="P1" s="37" t="s">
        <v>1377</v>
      </c>
      <c r="Q1" s="38"/>
      <c r="R1" s="38"/>
      <c r="S1" s="38"/>
    </row>
    <row r="2">
      <c r="A2" s="39">
        <v>45216.0</v>
      </c>
      <c r="B2" s="38" t="s">
        <v>1378</v>
      </c>
      <c r="C2" s="38" t="s">
        <v>830</v>
      </c>
      <c r="D2" s="40">
        <v>5400.0</v>
      </c>
      <c r="E2" s="41" t="s">
        <v>1379</v>
      </c>
      <c r="F2" s="38"/>
      <c r="G2" s="42" t="s">
        <v>37</v>
      </c>
      <c r="H2" s="43" t="s">
        <v>1380</v>
      </c>
      <c r="I2" s="42" t="s">
        <v>37</v>
      </c>
      <c r="J2" s="42" t="s">
        <v>37</v>
      </c>
      <c r="K2" s="42"/>
      <c r="L2" s="42"/>
      <c r="M2" s="44" t="s">
        <v>1381</v>
      </c>
      <c r="N2" s="42" t="s">
        <v>1382</v>
      </c>
      <c r="O2" s="45" t="s">
        <v>1383</v>
      </c>
      <c r="P2" s="45" t="s">
        <v>1384</v>
      </c>
      <c r="Q2" s="38"/>
      <c r="R2" s="38"/>
      <c r="S2" s="38"/>
    </row>
    <row r="3">
      <c r="A3" s="46">
        <v>45224.0</v>
      </c>
      <c r="B3" s="42" t="s">
        <v>1385</v>
      </c>
      <c r="C3" s="4" t="s">
        <v>802</v>
      </c>
      <c r="D3" s="47">
        <v>6100.0</v>
      </c>
      <c r="E3" s="48" t="s">
        <v>1386</v>
      </c>
      <c r="F3" s="38"/>
      <c r="G3" s="43" t="s">
        <v>37</v>
      </c>
      <c r="H3" s="43" t="s">
        <v>1387</v>
      </c>
      <c r="I3" s="43" t="s">
        <v>1388</v>
      </c>
      <c r="J3" s="42" t="s">
        <v>37</v>
      </c>
      <c r="K3" s="42"/>
      <c r="L3" s="42"/>
      <c r="M3" s="42" t="s">
        <v>1389</v>
      </c>
      <c r="N3" s="42" t="s">
        <v>1390</v>
      </c>
      <c r="O3" s="45"/>
      <c r="P3" s="45"/>
      <c r="Q3" s="38"/>
      <c r="R3" s="38"/>
      <c r="S3" s="38"/>
    </row>
    <row r="4">
      <c r="A4" s="46">
        <v>45239.0</v>
      </c>
      <c r="B4" s="4" t="s">
        <v>1391</v>
      </c>
      <c r="C4" s="4" t="s">
        <v>876</v>
      </c>
      <c r="D4" s="28">
        <v>5450.0</v>
      </c>
      <c r="E4" s="3" t="s">
        <v>398</v>
      </c>
      <c r="G4" s="4" t="s">
        <v>37</v>
      </c>
      <c r="H4" s="49" t="s">
        <v>1392</v>
      </c>
      <c r="I4" s="4" t="s">
        <v>37</v>
      </c>
      <c r="J4" s="49" t="s">
        <v>1393</v>
      </c>
      <c r="K4" s="49"/>
      <c r="L4" s="49"/>
      <c r="M4" s="4" t="s">
        <v>1394</v>
      </c>
      <c r="N4" s="4" t="s">
        <v>37</v>
      </c>
      <c r="O4" s="45"/>
      <c r="P4" s="45"/>
      <c r="Q4" s="38"/>
      <c r="R4" s="38"/>
      <c r="S4" s="38"/>
    </row>
    <row r="5">
      <c r="A5" s="39">
        <v>45194.0</v>
      </c>
      <c r="B5" s="38" t="s">
        <v>1395</v>
      </c>
      <c r="C5" s="38" t="s">
        <v>777</v>
      </c>
      <c r="D5" s="40">
        <v>5600.0</v>
      </c>
      <c r="E5" s="41" t="s">
        <v>1396</v>
      </c>
      <c r="F5" s="38"/>
      <c r="G5" s="42" t="s">
        <v>37</v>
      </c>
      <c r="H5" s="43" t="s">
        <v>1397</v>
      </c>
      <c r="I5" s="43" t="s">
        <v>1398</v>
      </c>
      <c r="J5" s="42" t="s">
        <v>37</v>
      </c>
      <c r="K5" s="42"/>
      <c r="L5" s="42"/>
      <c r="M5" s="42" t="s">
        <v>1399</v>
      </c>
      <c r="N5" s="42" t="s">
        <v>1400</v>
      </c>
      <c r="O5" s="45" t="s">
        <v>1401</v>
      </c>
      <c r="P5" s="45" t="s">
        <v>1402</v>
      </c>
      <c r="Q5" s="38"/>
      <c r="R5" s="38"/>
      <c r="S5" s="38"/>
    </row>
    <row r="6">
      <c r="A6" s="4" t="s">
        <v>1403</v>
      </c>
      <c r="B6" s="4" t="s">
        <v>1391</v>
      </c>
      <c r="C6" s="4" t="s">
        <v>876</v>
      </c>
      <c r="D6" s="28">
        <v>5450.0</v>
      </c>
      <c r="E6" s="3" t="s">
        <v>398</v>
      </c>
      <c r="G6" s="4" t="s">
        <v>37</v>
      </c>
      <c r="H6" s="49" t="s">
        <v>1392</v>
      </c>
      <c r="I6" s="4" t="s">
        <v>37</v>
      </c>
      <c r="J6" s="49" t="s">
        <v>1393</v>
      </c>
      <c r="K6" s="49"/>
      <c r="L6" s="49"/>
      <c r="M6" s="4" t="s">
        <v>1394</v>
      </c>
      <c r="N6" s="4" t="s">
        <v>37</v>
      </c>
      <c r="O6" s="50" t="s">
        <v>37</v>
      </c>
      <c r="P6" s="50" t="s">
        <v>37</v>
      </c>
    </row>
    <row r="7">
      <c r="A7" s="51">
        <v>45512.0</v>
      </c>
      <c r="B7" s="4" t="s">
        <v>1404</v>
      </c>
      <c r="C7" s="4" t="s">
        <v>1222</v>
      </c>
      <c r="D7" s="28">
        <v>7400.0</v>
      </c>
      <c r="E7" s="3" t="s">
        <v>1405</v>
      </c>
      <c r="F7" s="4" t="s">
        <v>20</v>
      </c>
      <c r="G7" s="4" t="s">
        <v>1406</v>
      </c>
      <c r="H7" s="4" t="s">
        <v>1407</v>
      </c>
      <c r="I7" s="4" t="s">
        <v>1408</v>
      </c>
      <c r="K7" s="4" t="s">
        <v>1409</v>
      </c>
      <c r="M7" s="4" t="s">
        <v>1410</v>
      </c>
      <c r="O7" s="52"/>
      <c r="P7" s="52"/>
    </row>
    <row r="8">
      <c r="A8" s="51">
        <v>45394.0</v>
      </c>
      <c r="B8" s="4" t="s">
        <v>1411</v>
      </c>
      <c r="C8" s="4" t="s">
        <v>991</v>
      </c>
      <c r="D8" s="3" t="s">
        <v>1156</v>
      </c>
      <c r="E8" s="3" t="s">
        <v>1412</v>
      </c>
      <c r="F8" s="4" t="s">
        <v>20</v>
      </c>
      <c r="G8" s="4" t="s">
        <v>1413</v>
      </c>
      <c r="H8" s="4" t="s">
        <v>1414</v>
      </c>
      <c r="J8" s="4" t="s">
        <v>1415</v>
      </c>
      <c r="M8" s="4" t="s">
        <v>1416</v>
      </c>
      <c r="O8" s="52"/>
      <c r="P8" s="52"/>
    </row>
    <row r="9">
      <c r="A9" s="51">
        <v>45390.0</v>
      </c>
      <c r="B9" s="4" t="s">
        <v>1417</v>
      </c>
      <c r="C9" s="4" t="s">
        <v>924</v>
      </c>
      <c r="D9" s="3" t="s">
        <v>1013</v>
      </c>
      <c r="E9" s="3" t="s">
        <v>232</v>
      </c>
      <c r="F9" s="4" t="s">
        <v>20</v>
      </c>
      <c r="G9" s="4" t="s">
        <v>1418</v>
      </c>
      <c r="H9" s="4" t="s">
        <v>1419</v>
      </c>
      <c r="I9" s="4" t="s">
        <v>1420</v>
      </c>
      <c r="M9" s="4" t="s">
        <v>1421</v>
      </c>
      <c r="O9" s="52"/>
      <c r="P9" s="52"/>
    </row>
    <row r="10">
      <c r="A10" s="53">
        <v>45348.0</v>
      </c>
      <c r="B10" s="4" t="s">
        <v>1422</v>
      </c>
      <c r="C10" s="4" t="s">
        <v>1076</v>
      </c>
      <c r="D10" s="28">
        <v>5100.0</v>
      </c>
      <c r="E10" s="3" t="s">
        <v>1423</v>
      </c>
      <c r="F10" s="4" t="s">
        <v>20</v>
      </c>
      <c r="G10" s="4" t="s">
        <v>1424</v>
      </c>
      <c r="M10" s="4" t="s">
        <v>1425</v>
      </c>
      <c r="O10" s="52"/>
      <c r="P10" s="52"/>
    </row>
    <row r="11">
      <c r="A11" s="54">
        <v>45348.0</v>
      </c>
      <c r="B11" s="38" t="s">
        <v>1422</v>
      </c>
      <c r="C11" s="38" t="s">
        <v>1076</v>
      </c>
      <c r="D11" s="40">
        <v>5100.0</v>
      </c>
      <c r="E11" s="41" t="s">
        <v>1423</v>
      </c>
      <c r="F11" s="42" t="s">
        <v>20</v>
      </c>
      <c r="G11" s="43" t="s">
        <v>1426</v>
      </c>
      <c r="H11" s="42" t="s">
        <v>37</v>
      </c>
      <c r="I11" s="42" t="s">
        <v>37</v>
      </c>
      <c r="J11" s="43" t="s">
        <v>1427</v>
      </c>
      <c r="K11" s="43"/>
      <c r="L11" s="43"/>
      <c r="M11" s="55" t="s">
        <v>1428</v>
      </c>
      <c r="N11" s="42" t="s">
        <v>1429</v>
      </c>
      <c r="O11" s="56" t="s">
        <v>1430</v>
      </c>
      <c r="P11" s="45"/>
      <c r="Q11" s="38"/>
      <c r="R11" s="38"/>
      <c r="S11" s="38"/>
    </row>
    <row r="12">
      <c r="A12" s="51">
        <v>45485.0</v>
      </c>
      <c r="B12" s="4" t="s">
        <v>1431</v>
      </c>
      <c r="C12" s="4" t="s">
        <v>1222</v>
      </c>
      <c r="D12" s="28">
        <v>6900.0</v>
      </c>
      <c r="E12" s="3" t="s">
        <v>1432</v>
      </c>
      <c r="F12" s="4" t="s">
        <v>20</v>
      </c>
      <c r="G12" s="4" t="s">
        <v>1433</v>
      </c>
      <c r="H12" s="4" t="s">
        <v>1434</v>
      </c>
      <c r="I12" s="4" t="s">
        <v>1435</v>
      </c>
      <c r="K12" s="4" t="s">
        <v>1436</v>
      </c>
      <c r="M12" s="4" t="s">
        <v>1410</v>
      </c>
      <c r="O12" s="52"/>
      <c r="P12" s="52"/>
    </row>
    <row r="13">
      <c r="A13" s="51">
        <v>45399.0</v>
      </c>
      <c r="B13" s="4" t="s">
        <v>1437</v>
      </c>
      <c r="C13" s="4" t="s">
        <v>900</v>
      </c>
      <c r="D13" s="28">
        <v>6800.0</v>
      </c>
      <c r="E13" s="3" t="s">
        <v>1438</v>
      </c>
      <c r="F13" s="4" t="s">
        <v>20</v>
      </c>
      <c r="G13" s="4" t="s">
        <v>1439</v>
      </c>
      <c r="H13" s="4" t="s">
        <v>1440</v>
      </c>
      <c r="J13" s="4" t="s">
        <v>1441</v>
      </c>
      <c r="M13" s="4" t="s">
        <v>1442</v>
      </c>
      <c r="O13" s="52"/>
      <c r="P13" s="52"/>
    </row>
    <row r="14">
      <c r="A14" s="29">
        <v>45385.0</v>
      </c>
      <c r="B14" s="4" t="s">
        <v>1443</v>
      </c>
      <c r="C14" s="4" t="s">
        <v>1131</v>
      </c>
      <c r="D14" s="28">
        <v>6600.0</v>
      </c>
      <c r="E14" s="3" t="s">
        <v>1444</v>
      </c>
      <c r="F14" s="4" t="s">
        <v>20</v>
      </c>
      <c r="G14" s="4" t="s">
        <v>1445</v>
      </c>
      <c r="H14" s="4" t="s">
        <v>1446</v>
      </c>
      <c r="J14" s="4" t="s">
        <v>1447</v>
      </c>
      <c r="M14" s="4" t="s">
        <v>1448</v>
      </c>
      <c r="O14" s="52"/>
      <c r="P14" s="52"/>
    </row>
    <row r="15">
      <c r="A15" s="57">
        <v>45520.0</v>
      </c>
      <c r="B15" s="4" t="s">
        <v>1449</v>
      </c>
      <c r="C15" s="4" t="s">
        <v>1283</v>
      </c>
      <c r="D15" s="28">
        <v>6400.0</v>
      </c>
      <c r="E15" s="3" t="s">
        <v>1450</v>
      </c>
      <c r="F15" s="4" t="s">
        <v>20</v>
      </c>
      <c r="G15" s="4" t="s">
        <v>1451</v>
      </c>
      <c r="H15" s="4" t="s">
        <v>1452</v>
      </c>
      <c r="O15" s="52"/>
      <c r="P15" s="52"/>
    </row>
    <row r="16">
      <c r="A16" s="53">
        <v>45358.0</v>
      </c>
      <c r="B16" s="4" t="s">
        <v>1453</v>
      </c>
      <c r="C16" s="4" t="s">
        <v>1096</v>
      </c>
      <c r="D16" s="3" t="s">
        <v>965</v>
      </c>
      <c r="E16" s="3" t="s">
        <v>1285</v>
      </c>
      <c r="F16" s="4" t="s">
        <v>20</v>
      </c>
      <c r="G16" s="4" t="s">
        <v>1454</v>
      </c>
      <c r="J16" s="4" t="s">
        <v>1455</v>
      </c>
      <c r="M16" s="4" t="s">
        <v>1456</v>
      </c>
      <c r="O16" s="52"/>
      <c r="P16" s="52"/>
    </row>
    <row r="17">
      <c r="A17" s="39">
        <v>45180.0</v>
      </c>
      <c r="B17" s="38" t="s">
        <v>1457</v>
      </c>
      <c r="C17" s="38" t="s">
        <v>15</v>
      </c>
      <c r="D17" s="40">
        <v>4100.0</v>
      </c>
      <c r="E17" s="41" t="s">
        <v>1458</v>
      </c>
      <c r="F17" s="38"/>
      <c r="G17" s="43" t="s">
        <v>1459</v>
      </c>
      <c r="H17" s="43" t="s">
        <v>1460</v>
      </c>
      <c r="I17" s="43" t="s">
        <v>1461</v>
      </c>
      <c r="J17" s="42" t="s">
        <v>37</v>
      </c>
      <c r="K17" s="42"/>
      <c r="L17" s="42"/>
      <c r="M17" s="42" t="s">
        <v>1462</v>
      </c>
      <c r="N17" s="42" t="s">
        <v>1463</v>
      </c>
      <c r="O17" s="45" t="s">
        <v>1464</v>
      </c>
      <c r="P17" s="45" t="s">
        <v>1465</v>
      </c>
      <c r="Q17" s="38"/>
      <c r="R17" s="38"/>
      <c r="S17" s="38"/>
    </row>
    <row r="18">
      <c r="A18" s="51">
        <v>45392.0</v>
      </c>
      <c r="B18" s="4" t="s">
        <v>1466</v>
      </c>
      <c r="C18" s="4" t="s">
        <v>924</v>
      </c>
      <c r="D18" s="28">
        <v>7200.0</v>
      </c>
      <c r="E18" s="3" t="s">
        <v>1412</v>
      </c>
      <c r="F18" s="4" t="s">
        <v>20</v>
      </c>
      <c r="G18" s="4" t="s">
        <v>1467</v>
      </c>
      <c r="H18" s="4" t="s">
        <v>1468</v>
      </c>
      <c r="I18" s="4" t="s">
        <v>1469</v>
      </c>
      <c r="J18" s="4" t="s">
        <v>1470</v>
      </c>
      <c r="M18" s="4" t="s">
        <v>1471</v>
      </c>
      <c r="O18" s="52"/>
      <c r="P18" s="52"/>
    </row>
    <row r="19">
      <c r="A19" s="57">
        <v>45358.0</v>
      </c>
      <c r="B19" s="4" t="s">
        <v>1453</v>
      </c>
      <c r="C19" s="4" t="s">
        <v>1096</v>
      </c>
      <c r="D19" s="3" t="s">
        <v>965</v>
      </c>
      <c r="E19" s="3" t="s">
        <v>1285</v>
      </c>
      <c r="F19" s="4" t="s">
        <v>20</v>
      </c>
      <c r="G19" s="4" t="s">
        <v>1472</v>
      </c>
      <c r="H19" s="4" t="s">
        <v>1473</v>
      </c>
      <c r="J19" s="4" t="s">
        <v>1474</v>
      </c>
      <c r="M19" s="4" t="s">
        <v>1456</v>
      </c>
      <c r="O19" s="52"/>
      <c r="P19" s="52"/>
    </row>
    <row r="20">
      <c r="A20" s="58">
        <v>45399.0</v>
      </c>
      <c r="B20" s="4" t="s">
        <v>1475</v>
      </c>
      <c r="C20" s="4" t="s">
        <v>900</v>
      </c>
      <c r="D20" s="3" t="s">
        <v>965</v>
      </c>
      <c r="E20" s="3" t="s">
        <v>1438</v>
      </c>
      <c r="F20" s="4" t="s">
        <v>20</v>
      </c>
      <c r="G20" s="4" t="s">
        <v>1476</v>
      </c>
      <c r="J20" s="4" t="s">
        <v>1477</v>
      </c>
      <c r="K20" s="4"/>
      <c r="L20" s="4"/>
      <c r="M20" s="4" t="s">
        <v>1442</v>
      </c>
      <c r="O20" s="52"/>
      <c r="P20" s="52"/>
    </row>
    <row r="21">
      <c r="A21" s="51">
        <v>45449.0</v>
      </c>
      <c r="B21" s="4" t="s">
        <v>1478</v>
      </c>
      <c r="C21" s="4" t="s">
        <v>1194</v>
      </c>
      <c r="D21" s="3" t="s">
        <v>1018</v>
      </c>
      <c r="E21" s="3" t="s">
        <v>228</v>
      </c>
      <c r="F21" s="4" t="s">
        <v>20</v>
      </c>
      <c r="G21" s="4" t="s">
        <v>1479</v>
      </c>
      <c r="H21" s="4" t="s">
        <v>1480</v>
      </c>
      <c r="I21" s="4" t="s">
        <v>1481</v>
      </c>
      <c r="J21" s="4" t="s">
        <v>1482</v>
      </c>
      <c r="M21" s="4" t="s">
        <v>1483</v>
      </c>
      <c r="O21" s="52"/>
      <c r="P21" s="52"/>
    </row>
    <row r="22">
      <c r="A22" s="51">
        <v>45519.0</v>
      </c>
      <c r="B22" s="4" t="s">
        <v>1484</v>
      </c>
      <c r="C22" s="4" t="s">
        <v>1283</v>
      </c>
      <c r="D22" s="28">
        <v>7200.0</v>
      </c>
      <c r="E22" s="3" t="s">
        <v>1485</v>
      </c>
      <c r="F22" s="4" t="s">
        <v>20</v>
      </c>
      <c r="G22" s="4" t="s">
        <v>1486</v>
      </c>
      <c r="H22" s="4" t="s">
        <v>1487</v>
      </c>
      <c r="I22" s="4" t="s">
        <v>1488</v>
      </c>
      <c r="K22" s="4" t="s">
        <v>1489</v>
      </c>
      <c r="M22" s="4" t="s">
        <v>1410</v>
      </c>
      <c r="O22" s="52"/>
      <c r="P22" s="52"/>
    </row>
    <row r="23">
      <c r="A23" s="39">
        <v>45322.0</v>
      </c>
      <c r="B23" s="38" t="s">
        <v>1490</v>
      </c>
      <c r="C23" s="38" t="s">
        <v>1032</v>
      </c>
      <c r="D23" s="40">
        <v>6200.0</v>
      </c>
      <c r="E23" s="41" t="s">
        <v>18</v>
      </c>
      <c r="F23" s="38" t="s">
        <v>20</v>
      </c>
      <c r="G23" s="59" t="s">
        <v>1491</v>
      </c>
      <c r="H23" s="43" t="s">
        <v>1492</v>
      </c>
      <c r="I23" s="43" t="s">
        <v>1493</v>
      </c>
      <c r="J23" s="42" t="s">
        <v>37</v>
      </c>
      <c r="K23" s="42"/>
      <c r="L23" s="42"/>
      <c r="M23" s="42" t="s">
        <v>1421</v>
      </c>
      <c r="N23" s="42" t="s">
        <v>1494</v>
      </c>
      <c r="O23" s="45" t="s">
        <v>1495</v>
      </c>
      <c r="P23" s="45"/>
      <c r="Q23" s="38"/>
      <c r="R23" s="38"/>
      <c r="S23" s="38"/>
    </row>
    <row r="24">
      <c r="A24" s="57">
        <v>45324.0</v>
      </c>
      <c r="B24" s="4" t="s">
        <v>1496</v>
      </c>
      <c r="C24" s="4" t="s">
        <v>1008</v>
      </c>
      <c r="D24" s="28">
        <v>7400.0</v>
      </c>
      <c r="E24" s="3" t="s">
        <v>18</v>
      </c>
      <c r="F24" s="4" t="s">
        <v>20</v>
      </c>
      <c r="G24" s="4" t="s">
        <v>1497</v>
      </c>
      <c r="H24" s="4" t="s">
        <v>1498</v>
      </c>
      <c r="I24" s="4" t="s">
        <v>1499</v>
      </c>
      <c r="M24" s="4" t="s">
        <v>1421</v>
      </c>
      <c r="O24" s="52"/>
      <c r="P24" s="52"/>
    </row>
    <row r="25">
      <c r="A25" s="54">
        <v>45275.0</v>
      </c>
      <c r="B25" s="38" t="s">
        <v>1500</v>
      </c>
      <c r="C25" s="38" t="s">
        <v>900</v>
      </c>
      <c r="D25" s="40">
        <v>4600.0</v>
      </c>
      <c r="E25" s="41" t="s">
        <v>398</v>
      </c>
      <c r="F25" s="38"/>
      <c r="G25" s="43" t="s">
        <v>1501</v>
      </c>
      <c r="H25" s="43" t="s">
        <v>37</v>
      </c>
      <c r="I25" s="43" t="s">
        <v>37</v>
      </c>
      <c r="J25" s="43" t="s">
        <v>1502</v>
      </c>
      <c r="K25" s="43"/>
      <c r="L25" s="43"/>
      <c r="M25" s="42" t="s">
        <v>1503</v>
      </c>
      <c r="N25" s="42" t="s">
        <v>1504</v>
      </c>
      <c r="O25" s="45" t="s">
        <v>1505</v>
      </c>
      <c r="P25" s="45" t="s">
        <v>1506</v>
      </c>
      <c r="Q25" s="38"/>
      <c r="R25" s="38"/>
      <c r="S25" s="38"/>
    </row>
    <row r="26">
      <c r="A26" s="39">
        <v>45189.0</v>
      </c>
      <c r="B26" s="38" t="s">
        <v>1507</v>
      </c>
      <c r="C26" s="38" t="s">
        <v>761</v>
      </c>
      <c r="D26" s="40">
        <v>4700.0</v>
      </c>
      <c r="E26" s="41" t="s">
        <v>1396</v>
      </c>
      <c r="F26" s="38"/>
      <c r="G26" s="43" t="s">
        <v>1508</v>
      </c>
      <c r="H26" s="43" t="s">
        <v>1424</v>
      </c>
      <c r="I26" s="42" t="s">
        <v>37</v>
      </c>
      <c r="J26" s="42" t="s">
        <v>37</v>
      </c>
      <c r="K26" s="42"/>
      <c r="L26" s="42"/>
      <c r="M26" s="42" t="s">
        <v>1509</v>
      </c>
      <c r="N26" s="42" t="s">
        <v>1510</v>
      </c>
      <c r="O26" s="45" t="s">
        <v>1511</v>
      </c>
      <c r="P26" s="45" t="s">
        <v>1512</v>
      </c>
      <c r="Q26" s="38"/>
      <c r="R26" s="38"/>
      <c r="S26" s="38"/>
    </row>
    <row r="27">
      <c r="A27" s="46">
        <v>45190.0</v>
      </c>
      <c r="B27" s="42" t="s">
        <v>1513</v>
      </c>
      <c r="C27" s="4" t="s">
        <v>767</v>
      </c>
      <c r="D27" s="47">
        <v>4600.0</v>
      </c>
      <c r="E27" s="48" t="s">
        <v>1514</v>
      </c>
      <c r="F27" s="38"/>
      <c r="G27" s="43" t="s">
        <v>1515</v>
      </c>
      <c r="H27" s="43" t="s">
        <v>1516</v>
      </c>
      <c r="I27" s="43" t="s">
        <v>1517</v>
      </c>
      <c r="J27" s="42" t="s">
        <v>37</v>
      </c>
      <c r="K27" s="42"/>
      <c r="L27" s="42"/>
      <c r="M27" s="42" t="s">
        <v>1518</v>
      </c>
      <c r="N27" s="42" t="s">
        <v>1390</v>
      </c>
      <c r="O27" s="56"/>
      <c r="P27" s="56"/>
      <c r="Q27" s="38"/>
      <c r="R27" s="38"/>
      <c r="S27" s="38"/>
    </row>
    <row r="28">
      <c r="A28" s="58">
        <v>45450.0</v>
      </c>
      <c r="B28" s="4" t="s">
        <v>1519</v>
      </c>
      <c r="C28" s="4" t="s">
        <v>1194</v>
      </c>
      <c r="D28" s="3" t="s">
        <v>1018</v>
      </c>
      <c r="E28" s="3" t="s">
        <v>1520</v>
      </c>
      <c r="F28" s="4" t="s">
        <v>20</v>
      </c>
      <c r="G28" s="4" t="s">
        <v>1521</v>
      </c>
      <c r="H28" s="4" t="s">
        <v>1522</v>
      </c>
      <c r="I28" s="4" t="s">
        <v>1523</v>
      </c>
      <c r="J28" s="4" t="s">
        <v>1524</v>
      </c>
      <c r="M28" s="4" t="s">
        <v>1483</v>
      </c>
      <c r="O28" s="52"/>
      <c r="P28" s="52"/>
    </row>
    <row r="29">
      <c r="A29" s="29">
        <v>45383.0</v>
      </c>
      <c r="B29" s="4" t="s">
        <v>1525</v>
      </c>
      <c r="C29" s="4" t="s">
        <v>1131</v>
      </c>
      <c r="D29" s="28">
        <v>5200.0</v>
      </c>
      <c r="E29" s="3" t="s">
        <v>1423</v>
      </c>
      <c r="G29" s="4" t="s">
        <v>1526</v>
      </c>
      <c r="J29" s="4" t="s">
        <v>1527</v>
      </c>
      <c r="M29" s="4" t="s">
        <v>1416</v>
      </c>
      <c r="O29" s="52"/>
      <c r="P29" s="52"/>
    </row>
    <row r="30">
      <c r="A30" s="51">
        <v>45496.0</v>
      </c>
      <c r="B30" s="4" t="s">
        <v>1528</v>
      </c>
      <c r="C30" s="4" t="s">
        <v>1222</v>
      </c>
      <c r="D30" s="3" t="s">
        <v>1078</v>
      </c>
      <c r="E30" s="3" t="s">
        <v>1529</v>
      </c>
      <c r="G30" s="4" t="s">
        <v>1530</v>
      </c>
      <c r="H30" s="4" t="s">
        <v>1531</v>
      </c>
      <c r="J30" s="4" t="s">
        <v>1532</v>
      </c>
      <c r="L30" s="4" t="s">
        <v>1533</v>
      </c>
      <c r="M30" s="4" t="s">
        <v>1534</v>
      </c>
      <c r="O30" s="52"/>
      <c r="P30" s="52"/>
    </row>
    <row r="31">
      <c r="A31" s="57">
        <v>45491.0</v>
      </c>
      <c r="B31" s="4" t="s">
        <v>1535</v>
      </c>
      <c r="C31" s="4" t="s">
        <v>1222</v>
      </c>
      <c r="D31" s="3" t="s">
        <v>1102</v>
      </c>
      <c r="E31" s="3" t="s">
        <v>1432</v>
      </c>
      <c r="F31" s="4" t="s">
        <v>20</v>
      </c>
      <c r="G31" s="4" t="s">
        <v>1536</v>
      </c>
      <c r="J31" s="4" t="s">
        <v>1441</v>
      </c>
      <c r="M31" s="4" t="s">
        <v>1448</v>
      </c>
      <c r="O31" s="52"/>
      <c r="P31" s="52"/>
    </row>
    <row r="32">
      <c r="A32" s="57">
        <v>45516.0</v>
      </c>
      <c r="B32" s="4" t="s">
        <v>1537</v>
      </c>
      <c r="C32" s="4" t="s">
        <v>1279</v>
      </c>
      <c r="D32" s="28">
        <v>5200.0</v>
      </c>
      <c r="E32" s="3" t="s">
        <v>398</v>
      </c>
      <c r="G32" s="4" t="s">
        <v>1538</v>
      </c>
      <c r="H32" s="4" t="s">
        <v>1539</v>
      </c>
      <c r="J32" s="4" t="s">
        <v>1540</v>
      </c>
      <c r="L32" s="4" t="s">
        <v>1541</v>
      </c>
      <c r="M32" s="4" t="s">
        <v>1542</v>
      </c>
      <c r="O32" s="52"/>
      <c r="P32" s="52"/>
    </row>
    <row r="33">
      <c r="A33" s="53">
        <v>45363.0</v>
      </c>
      <c r="B33" s="4" t="s">
        <v>1543</v>
      </c>
      <c r="C33" s="4" t="s">
        <v>1076</v>
      </c>
      <c r="D33" s="28">
        <v>4100.0</v>
      </c>
      <c r="E33" s="3" t="s">
        <v>1544</v>
      </c>
      <c r="G33" s="4" t="s">
        <v>1545</v>
      </c>
      <c r="J33" s="4" t="s">
        <v>1546</v>
      </c>
      <c r="M33" s="4" t="s">
        <v>1547</v>
      </c>
      <c r="O33" s="52"/>
      <c r="P33" s="52"/>
    </row>
    <row r="34">
      <c r="A34" s="51">
        <v>45533.0</v>
      </c>
      <c r="B34" s="4" t="s">
        <v>1548</v>
      </c>
      <c r="C34" s="4" t="s">
        <v>1210</v>
      </c>
      <c r="D34" s="3" t="s">
        <v>1078</v>
      </c>
      <c r="E34" s="3" t="s">
        <v>1549</v>
      </c>
      <c r="G34" s="4" t="s">
        <v>1550</v>
      </c>
      <c r="H34" s="4" t="s">
        <v>1551</v>
      </c>
      <c r="L34" s="4" t="s">
        <v>1552</v>
      </c>
      <c r="M34" s="4" t="s">
        <v>1553</v>
      </c>
      <c r="O34" s="52"/>
      <c r="P34" s="52"/>
    </row>
    <row r="35">
      <c r="A35" s="57">
        <v>45301.0</v>
      </c>
      <c r="B35" s="4" t="s">
        <v>1554</v>
      </c>
      <c r="C35" s="4" t="s">
        <v>924</v>
      </c>
      <c r="D35" s="28">
        <v>6200.0</v>
      </c>
      <c r="E35" s="3" t="s">
        <v>1555</v>
      </c>
      <c r="G35" s="4" t="s">
        <v>1556</v>
      </c>
      <c r="H35" s="4" t="s">
        <v>1557</v>
      </c>
      <c r="I35" s="4" t="s">
        <v>1558</v>
      </c>
      <c r="M35" s="4" t="s">
        <v>1421</v>
      </c>
      <c r="O35" s="52"/>
      <c r="P35" s="52"/>
    </row>
    <row r="36">
      <c r="A36" s="29">
        <v>45357.0</v>
      </c>
      <c r="B36" s="4" t="s">
        <v>1559</v>
      </c>
      <c r="C36" s="4" t="s">
        <v>1076</v>
      </c>
      <c r="D36" s="28">
        <v>4100.0</v>
      </c>
      <c r="E36" s="3" t="s">
        <v>1560</v>
      </c>
      <c r="G36" s="4" t="s">
        <v>1561</v>
      </c>
      <c r="H36" s="4" t="s">
        <v>1562</v>
      </c>
      <c r="M36" s="4" t="s">
        <v>1425</v>
      </c>
      <c r="O36" s="52"/>
      <c r="P36" s="52"/>
    </row>
    <row r="37">
      <c r="A37" s="58">
        <v>45391.0</v>
      </c>
      <c r="B37" s="4" t="s">
        <v>1563</v>
      </c>
      <c r="C37" s="4" t="s">
        <v>924</v>
      </c>
      <c r="D37" s="3" t="s">
        <v>1148</v>
      </c>
      <c r="E37" s="3" t="s">
        <v>232</v>
      </c>
      <c r="F37" s="4" t="s">
        <v>20</v>
      </c>
      <c r="G37" s="4" t="s">
        <v>1564</v>
      </c>
      <c r="H37" s="4" t="s">
        <v>1565</v>
      </c>
      <c r="I37" s="4" t="s">
        <v>1566</v>
      </c>
      <c r="M37" s="4" t="s">
        <v>1421</v>
      </c>
      <c r="O37" s="52"/>
      <c r="P37" s="52"/>
    </row>
    <row r="38">
      <c r="A38" s="46">
        <v>45268.0</v>
      </c>
      <c r="B38" s="42" t="s">
        <v>1567</v>
      </c>
      <c r="C38" s="4" t="s">
        <v>920</v>
      </c>
      <c r="D38" s="47">
        <v>4900.0</v>
      </c>
      <c r="E38" s="48" t="s">
        <v>398</v>
      </c>
      <c r="F38" s="38"/>
      <c r="G38" s="59" t="s">
        <v>1568</v>
      </c>
      <c r="H38" s="43" t="s">
        <v>37</v>
      </c>
      <c r="I38" s="43" t="s">
        <v>37</v>
      </c>
      <c r="J38" s="42" t="s">
        <v>37</v>
      </c>
      <c r="K38" s="42"/>
      <c r="L38" s="42"/>
      <c r="M38" s="42" t="s">
        <v>1569</v>
      </c>
      <c r="N38" s="42" t="s">
        <v>1570</v>
      </c>
      <c r="O38" s="45"/>
      <c r="P38" s="45"/>
      <c r="Q38" s="38"/>
      <c r="R38" s="38"/>
      <c r="S38" s="38"/>
    </row>
    <row r="39">
      <c r="A39" s="46">
        <v>45279.0</v>
      </c>
      <c r="B39" s="42" t="s">
        <v>1571</v>
      </c>
      <c r="C39" s="4" t="s">
        <v>924</v>
      </c>
      <c r="D39" s="47">
        <v>6400.0</v>
      </c>
      <c r="E39" s="48" t="s">
        <v>398</v>
      </c>
      <c r="F39" s="38"/>
      <c r="G39" s="43" t="s">
        <v>1572</v>
      </c>
      <c r="H39" s="43" t="s">
        <v>37</v>
      </c>
      <c r="I39" s="43" t="s">
        <v>37</v>
      </c>
      <c r="J39" s="43" t="s">
        <v>1573</v>
      </c>
      <c r="K39" s="43"/>
      <c r="L39" s="43"/>
      <c r="M39" s="42" t="s">
        <v>1416</v>
      </c>
      <c r="N39" s="42" t="s">
        <v>1574</v>
      </c>
      <c r="O39" s="45"/>
      <c r="P39" s="45"/>
      <c r="Q39" s="38"/>
      <c r="R39" s="38"/>
      <c r="S39" s="38"/>
    </row>
    <row r="40">
      <c r="A40" s="54">
        <v>45232.0</v>
      </c>
      <c r="B40" s="38" t="s">
        <v>1575</v>
      </c>
      <c r="C40" s="38" t="s">
        <v>876</v>
      </c>
      <c r="D40" s="40">
        <v>4700.0</v>
      </c>
      <c r="E40" s="41" t="s">
        <v>398</v>
      </c>
      <c r="F40" s="38"/>
      <c r="G40" s="43" t="s">
        <v>1397</v>
      </c>
      <c r="H40" s="42" t="s">
        <v>37</v>
      </c>
      <c r="I40" s="42" t="s">
        <v>37</v>
      </c>
      <c r="J40" s="43" t="s">
        <v>1477</v>
      </c>
      <c r="K40" s="43"/>
      <c r="L40" s="43"/>
      <c r="M40" s="55" t="s">
        <v>1394</v>
      </c>
      <c r="N40" s="42" t="s">
        <v>1576</v>
      </c>
      <c r="O40" s="45" t="s">
        <v>1577</v>
      </c>
      <c r="P40" s="45" t="s">
        <v>1578</v>
      </c>
      <c r="Q40" s="38"/>
      <c r="R40" s="38"/>
      <c r="S40" s="38"/>
    </row>
    <row r="41">
      <c r="A41" s="2" t="s">
        <v>1579</v>
      </c>
      <c r="B41" s="38" t="s">
        <v>1575</v>
      </c>
      <c r="C41" s="38" t="s">
        <v>876</v>
      </c>
      <c r="D41" s="40">
        <v>4700.0</v>
      </c>
      <c r="E41" s="41" t="s">
        <v>398</v>
      </c>
      <c r="F41" s="38"/>
      <c r="G41" s="43" t="s">
        <v>1397</v>
      </c>
      <c r="H41" s="42" t="s">
        <v>37</v>
      </c>
      <c r="I41" s="42" t="s">
        <v>37</v>
      </c>
      <c r="J41" s="43" t="s">
        <v>1477</v>
      </c>
      <c r="K41" s="43"/>
      <c r="L41" s="43"/>
      <c r="M41" s="55" t="s">
        <v>1394</v>
      </c>
      <c r="N41" s="42" t="s">
        <v>1576</v>
      </c>
      <c r="O41" s="45" t="s">
        <v>1577</v>
      </c>
      <c r="P41" s="45" t="s">
        <v>1578</v>
      </c>
      <c r="Q41" s="38"/>
    </row>
    <row r="42">
      <c r="A42" s="54">
        <v>45300.0</v>
      </c>
      <c r="B42" s="38" t="s">
        <v>1580</v>
      </c>
      <c r="C42" s="38" t="s">
        <v>972</v>
      </c>
      <c r="D42" s="40">
        <v>5000.0</v>
      </c>
      <c r="E42" s="41" t="s">
        <v>1458</v>
      </c>
      <c r="F42" s="38"/>
      <c r="G42" s="43" t="s">
        <v>1581</v>
      </c>
      <c r="H42" s="43" t="s">
        <v>1582</v>
      </c>
      <c r="I42" s="43" t="s">
        <v>1583</v>
      </c>
      <c r="J42" s="42" t="s">
        <v>37</v>
      </c>
      <c r="K42" s="42"/>
      <c r="L42" s="42"/>
      <c r="M42" s="55" t="s">
        <v>1421</v>
      </c>
      <c r="N42" s="42" t="s">
        <v>1584</v>
      </c>
      <c r="O42" s="45" t="s">
        <v>1585</v>
      </c>
      <c r="P42" s="45" t="s">
        <v>1586</v>
      </c>
      <c r="Q42" s="38"/>
      <c r="R42" s="38"/>
      <c r="S42" s="38"/>
    </row>
    <row r="43">
      <c r="A43" s="39">
        <v>45222.0</v>
      </c>
      <c r="B43" s="38" t="s">
        <v>1587</v>
      </c>
      <c r="C43" s="38" t="s">
        <v>845</v>
      </c>
      <c r="D43" s="40">
        <v>4600.0</v>
      </c>
      <c r="E43" s="41" t="s">
        <v>1386</v>
      </c>
      <c r="F43" s="38"/>
      <c r="G43" s="43" t="s">
        <v>1588</v>
      </c>
      <c r="H43" s="43" t="s">
        <v>1589</v>
      </c>
      <c r="I43" s="43" t="s">
        <v>1590</v>
      </c>
      <c r="J43" s="42" t="s">
        <v>37</v>
      </c>
      <c r="K43" s="42"/>
      <c r="L43" s="42"/>
      <c r="M43" s="42" t="s">
        <v>1591</v>
      </c>
      <c r="N43" s="42" t="s">
        <v>1592</v>
      </c>
      <c r="O43" s="45" t="s">
        <v>1593</v>
      </c>
      <c r="P43" s="45" t="s">
        <v>1594</v>
      </c>
      <c r="Q43" s="38"/>
      <c r="R43" s="38"/>
      <c r="S43" s="38"/>
    </row>
    <row r="44">
      <c r="A44" s="46">
        <v>45321.0</v>
      </c>
      <c r="B44" s="4" t="s">
        <v>1595</v>
      </c>
      <c r="C44" s="4" t="s">
        <v>900</v>
      </c>
      <c r="D44" s="28">
        <v>7400.0</v>
      </c>
      <c r="E44" s="3" t="s">
        <v>18</v>
      </c>
      <c r="F44" s="4" t="s">
        <v>20</v>
      </c>
      <c r="G44" s="49" t="s">
        <v>1392</v>
      </c>
      <c r="H44" s="49" t="s">
        <v>1596</v>
      </c>
      <c r="I44" s="49" t="s">
        <v>1597</v>
      </c>
      <c r="J44" s="49" t="s">
        <v>1489</v>
      </c>
      <c r="K44" s="49"/>
      <c r="L44" s="49"/>
      <c r="M44" s="4" t="s">
        <v>1483</v>
      </c>
      <c r="N44" s="4" t="s">
        <v>1494</v>
      </c>
      <c r="O44" s="45"/>
      <c r="P44" s="45"/>
      <c r="Q44" s="38"/>
      <c r="R44" s="38"/>
      <c r="S44" s="38"/>
    </row>
    <row r="45">
      <c r="A45" s="4" t="s">
        <v>1598</v>
      </c>
      <c r="B45" s="4" t="s">
        <v>1595</v>
      </c>
      <c r="C45" s="4" t="s">
        <v>900</v>
      </c>
      <c r="D45" s="28">
        <v>7400.0</v>
      </c>
      <c r="E45" s="3" t="s">
        <v>18</v>
      </c>
      <c r="F45" s="4" t="s">
        <v>20</v>
      </c>
      <c r="G45" s="49" t="s">
        <v>1392</v>
      </c>
      <c r="H45" s="49" t="s">
        <v>1596</v>
      </c>
      <c r="I45" s="49" t="s">
        <v>1597</v>
      </c>
      <c r="J45" s="49" t="s">
        <v>1489</v>
      </c>
      <c r="K45" s="49"/>
      <c r="L45" s="49"/>
      <c r="M45" s="4" t="s">
        <v>1483</v>
      </c>
      <c r="N45" s="4" t="s">
        <v>1494</v>
      </c>
      <c r="O45" s="50" t="s">
        <v>1599</v>
      </c>
      <c r="P45" s="50" t="s">
        <v>1600</v>
      </c>
    </row>
    <row r="46">
      <c r="A46" s="39">
        <v>45188.0</v>
      </c>
      <c r="B46" s="38" t="s">
        <v>1601</v>
      </c>
      <c r="C46" s="38" t="s">
        <v>756</v>
      </c>
      <c r="D46" s="40">
        <v>5200.0</v>
      </c>
      <c r="E46" s="41" t="s">
        <v>1379</v>
      </c>
      <c r="F46" s="38"/>
      <c r="G46" s="43" t="s">
        <v>1602</v>
      </c>
      <c r="H46" s="43" t="s">
        <v>1603</v>
      </c>
      <c r="I46" s="42" t="s">
        <v>37</v>
      </c>
      <c r="J46" s="42" t="s">
        <v>37</v>
      </c>
      <c r="K46" s="42"/>
      <c r="L46" s="42"/>
      <c r="M46" s="42" t="s">
        <v>1604</v>
      </c>
      <c r="N46" s="42" t="s">
        <v>1382</v>
      </c>
      <c r="O46" s="45" t="s">
        <v>1605</v>
      </c>
      <c r="P46" s="45" t="s">
        <v>1606</v>
      </c>
      <c r="Q46" s="38"/>
      <c r="R46" s="38"/>
      <c r="S46" s="38"/>
    </row>
    <row r="47">
      <c r="A47" s="46">
        <v>45330.0</v>
      </c>
      <c r="B47" s="4" t="s">
        <v>1607</v>
      </c>
      <c r="C47" s="4" t="s">
        <v>924</v>
      </c>
      <c r="D47" s="28">
        <v>7750.0</v>
      </c>
      <c r="E47" s="3" t="s">
        <v>232</v>
      </c>
      <c r="F47" s="4" t="s">
        <v>254</v>
      </c>
      <c r="G47" s="49" t="s">
        <v>1608</v>
      </c>
      <c r="H47" s="49" t="s">
        <v>1609</v>
      </c>
      <c r="I47" s="49" t="s">
        <v>1610</v>
      </c>
      <c r="J47" s="49" t="s">
        <v>1611</v>
      </c>
      <c r="K47" s="49"/>
      <c r="L47" s="49"/>
      <c r="M47" s="4" t="s">
        <v>1612</v>
      </c>
      <c r="N47" s="4" t="s">
        <v>37</v>
      </c>
      <c r="O47" s="45"/>
      <c r="P47" s="45"/>
      <c r="Q47" s="38"/>
      <c r="R47" s="38"/>
      <c r="S47" s="38"/>
    </row>
    <row r="48">
      <c r="A48" s="4" t="s">
        <v>1613</v>
      </c>
      <c r="B48" s="4" t="s">
        <v>1607</v>
      </c>
      <c r="C48" s="4" t="s">
        <v>924</v>
      </c>
      <c r="D48" s="28">
        <v>7750.0</v>
      </c>
      <c r="E48" s="3" t="s">
        <v>232</v>
      </c>
      <c r="F48" s="4" t="s">
        <v>254</v>
      </c>
      <c r="G48" s="49" t="s">
        <v>1608</v>
      </c>
      <c r="H48" s="49" t="s">
        <v>1609</v>
      </c>
      <c r="I48" s="49" t="s">
        <v>1610</v>
      </c>
      <c r="J48" s="49" t="s">
        <v>1611</v>
      </c>
      <c r="K48" s="49"/>
      <c r="L48" s="49"/>
      <c r="M48" s="4" t="s">
        <v>1612</v>
      </c>
      <c r="N48" s="4" t="s">
        <v>37</v>
      </c>
      <c r="O48" s="50" t="s">
        <v>37</v>
      </c>
      <c r="P48" s="50" t="s">
        <v>37</v>
      </c>
    </row>
    <row r="49">
      <c r="A49" s="54">
        <v>45183.0</v>
      </c>
      <c r="B49" s="38" t="s">
        <v>1614</v>
      </c>
      <c r="C49" s="38" t="s">
        <v>740</v>
      </c>
      <c r="D49" s="40">
        <v>6000.0</v>
      </c>
      <c r="E49" s="41" t="s">
        <v>1458</v>
      </c>
      <c r="F49" s="38"/>
      <c r="G49" s="43" t="s">
        <v>1615</v>
      </c>
      <c r="H49" s="43" t="s">
        <v>1616</v>
      </c>
      <c r="I49" s="42" t="s">
        <v>37</v>
      </c>
      <c r="J49" s="43" t="s">
        <v>1617</v>
      </c>
      <c r="K49" s="43"/>
      <c r="L49" s="43"/>
      <c r="M49" s="42" t="s">
        <v>1618</v>
      </c>
      <c r="N49" s="42" t="s">
        <v>1429</v>
      </c>
      <c r="O49" s="45" t="s">
        <v>1619</v>
      </c>
      <c r="P49" s="45" t="s">
        <v>1620</v>
      </c>
      <c r="Q49" s="38"/>
      <c r="R49" s="38"/>
      <c r="S49" s="38"/>
    </row>
    <row r="50">
      <c r="A50" s="39">
        <v>45323.0</v>
      </c>
      <c r="B50" s="38" t="s">
        <v>1621</v>
      </c>
      <c r="C50" s="38" t="s">
        <v>1037</v>
      </c>
      <c r="D50" s="40">
        <v>7500.0</v>
      </c>
      <c r="E50" s="41" t="s">
        <v>18</v>
      </c>
      <c r="F50" s="38" t="s">
        <v>20</v>
      </c>
      <c r="G50" s="43" t="s">
        <v>1615</v>
      </c>
      <c r="H50" s="43" t="s">
        <v>1622</v>
      </c>
      <c r="I50" s="43" t="s">
        <v>1623</v>
      </c>
      <c r="J50" s="43" t="s">
        <v>1624</v>
      </c>
      <c r="K50" s="43"/>
      <c r="L50" s="43"/>
      <c r="M50" s="42" t="s">
        <v>1625</v>
      </c>
      <c r="N50" s="42" t="s">
        <v>1494</v>
      </c>
      <c r="O50" s="45" t="s">
        <v>1626</v>
      </c>
      <c r="P50" s="45"/>
      <c r="Q50" s="38"/>
      <c r="R50" s="38"/>
      <c r="S50" s="38"/>
    </row>
    <row r="51">
      <c r="A51" s="2" t="s">
        <v>1627</v>
      </c>
      <c r="B51" s="38" t="s">
        <v>1614</v>
      </c>
      <c r="C51" s="38" t="s">
        <v>740</v>
      </c>
      <c r="D51" s="40">
        <v>6000.0</v>
      </c>
      <c r="E51" s="41" t="s">
        <v>1458</v>
      </c>
      <c r="F51" s="38"/>
      <c r="G51" s="43" t="s">
        <v>1615</v>
      </c>
      <c r="H51" s="43" t="s">
        <v>1616</v>
      </c>
      <c r="I51" s="42" t="s">
        <v>37</v>
      </c>
      <c r="J51" s="43" t="s">
        <v>37</v>
      </c>
      <c r="K51" s="43"/>
      <c r="L51" s="43"/>
      <c r="M51" s="42" t="s">
        <v>1618</v>
      </c>
      <c r="N51" s="42" t="s">
        <v>1628</v>
      </c>
      <c r="O51" s="45" t="s">
        <v>1619</v>
      </c>
      <c r="P51" s="45" t="s">
        <v>1620</v>
      </c>
    </row>
    <row r="52">
      <c r="A52" s="54">
        <v>45329.0</v>
      </c>
      <c r="B52" s="38" t="s">
        <v>1629</v>
      </c>
      <c r="C52" s="38" t="s">
        <v>924</v>
      </c>
      <c r="D52" s="60" t="s">
        <v>1049</v>
      </c>
      <c r="E52" s="41" t="s">
        <v>232</v>
      </c>
      <c r="F52" s="38" t="s">
        <v>254</v>
      </c>
      <c r="G52" s="43" t="s">
        <v>1630</v>
      </c>
      <c r="H52" s="43" t="s">
        <v>1631</v>
      </c>
      <c r="I52" s="43" t="s">
        <v>1632</v>
      </c>
      <c r="J52" s="43" t="s">
        <v>1633</v>
      </c>
      <c r="K52" s="43"/>
      <c r="L52" s="43"/>
      <c r="M52" s="42" t="s">
        <v>1612</v>
      </c>
      <c r="N52" s="42" t="s">
        <v>1634</v>
      </c>
      <c r="O52" s="45" t="s">
        <v>1635</v>
      </c>
      <c r="P52" s="45"/>
      <c r="Q52" s="38"/>
      <c r="R52" s="38"/>
      <c r="S52" s="38"/>
    </row>
    <row r="53">
      <c r="A53" s="2" t="s">
        <v>1636</v>
      </c>
      <c r="B53" s="38" t="s">
        <v>1629</v>
      </c>
      <c r="C53" s="38" t="s">
        <v>924</v>
      </c>
      <c r="D53" s="60" t="s">
        <v>1049</v>
      </c>
      <c r="E53" s="41" t="s">
        <v>232</v>
      </c>
      <c r="F53" s="38" t="s">
        <v>254</v>
      </c>
      <c r="G53" s="43" t="s">
        <v>1630</v>
      </c>
      <c r="H53" s="43" t="s">
        <v>1631</v>
      </c>
      <c r="I53" s="43" t="s">
        <v>1632</v>
      </c>
      <c r="J53" s="43" t="s">
        <v>1633</v>
      </c>
      <c r="K53" s="43"/>
      <c r="L53" s="43"/>
      <c r="M53" s="42" t="s">
        <v>1612</v>
      </c>
      <c r="N53" s="42" t="s">
        <v>1634</v>
      </c>
      <c r="O53" s="45" t="s">
        <v>1635</v>
      </c>
      <c r="P53" s="45" t="s">
        <v>1637</v>
      </c>
    </row>
    <row r="54">
      <c r="A54" s="39">
        <v>45218.0</v>
      </c>
      <c r="B54" s="38" t="s">
        <v>1638</v>
      </c>
      <c r="C54" s="38" t="s">
        <v>836</v>
      </c>
      <c r="D54" s="40">
        <v>5000.0</v>
      </c>
      <c r="E54" s="41" t="s">
        <v>1386</v>
      </c>
      <c r="F54" s="38"/>
      <c r="G54" s="43" t="s">
        <v>1639</v>
      </c>
      <c r="H54" s="43" t="s">
        <v>1640</v>
      </c>
      <c r="I54" s="42" t="s">
        <v>37</v>
      </c>
      <c r="J54" s="42" t="s">
        <v>37</v>
      </c>
      <c r="K54" s="42"/>
      <c r="L54" s="42"/>
      <c r="M54" s="42" t="s">
        <v>1360</v>
      </c>
      <c r="N54" s="42" t="s">
        <v>1641</v>
      </c>
      <c r="O54" s="45" t="s">
        <v>1642</v>
      </c>
      <c r="P54" s="45" t="s">
        <v>1643</v>
      </c>
      <c r="Q54" s="38"/>
      <c r="R54" s="38"/>
      <c r="S54" s="38"/>
    </row>
    <row r="55">
      <c r="A55" s="46">
        <v>45219.0</v>
      </c>
      <c r="B55" s="42" t="s">
        <v>1644</v>
      </c>
      <c r="C55" s="4" t="s">
        <v>841</v>
      </c>
      <c r="D55" s="47">
        <v>4900.0</v>
      </c>
      <c r="E55" s="48" t="s">
        <v>1386</v>
      </c>
      <c r="F55" s="38"/>
      <c r="G55" s="43" t="s">
        <v>1639</v>
      </c>
      <c r="H55" s="49" t="s">
        <v>1645</v>
      </c>
      <c r="I55" s="43" t="s">
        <v>1646</v>
      </c>
      <c r="J55" s="42" t="s">
        <v>37</v>
      </c>
      <c r="K55" s="42"/>
      <c r="L55" s="42"/>
      <c r="M55" s="42" t="s">
        <v>1647</v>
      </c>
      <c r="N55" s="42" t="s">
        <v>1648</v>
      </c>
      <c r="O55" s="45" t="s">
        <v>1649</v>
      </c>
      <c r="P55" s="45" t="s">
        <v>1650</v>
      </c>
      <c r="Q55" s="38"/>
      <c r="R55" s="38"/>
      <c r="S55" s="38"/>
    </row>
    <row r="56">
      <c r="A56" s="61" t="s">
        <v>1651</v>
      </c>
      <c r="B56" s="42" t="s">
        <v>1652</v>
      </c>
      <c r="C56" s="4" t="s">
        <v>924</v>
      </c>
      <c r="D56" s="62" t="s">
        <v>1049</v>
      </c>
      <c r="E56" s="48" t="s">
        <v>232</v>
      </c>
      <c r="F56" s="42" t="s">
        <v>20</v>
      </c>
      <c r="G56" s="43" t="s">
        <v>1639</v>
      </c>
      <c r="H56" s="43" t="s">
        <v>1653</v>
      </c>
      <c r="I56" s="43" t="s">
        <v>1654</v>
      </c>
      <c r="J56" s="43" t="s">
        <v>1655</v>
      </c>
      <c r="K56" s="43"/>
      <c r="L56" s="43"/>
      <c r="M56" s="42" t="s">
        <v>1656</v>
      </c>
      <c r="N56" s="42" t="s">
        <v>1574</v>
      </c>
      <c r="O56" s="45"/>
      <c r="P56" s="45"/>
      <c r="Q56" s="38"/>
      <c r="R56" s="38"/>
      <c r="S56" s="38"/>
    </row>
    <row r="57">
      <c r="A57" s="4" t="s">
        <v>1657</v>
      </c>
      <c r="B57" s="4" t="s">
        <v>1658</v>
      </c>
      <c r="C57" s="4" t="s">
        <v>991</v>
      </c>
      <c r="D57" s="28">
        <v>8000.0</v>
      </c>
      <c r="E57" s="3" t="s">
        <v>228</v>
      </c>
      <c r="F57" s="4" t="s">
        <v>20</v>
      </c>
      <c r="G57" s="49" t="s">
        <v>1659</v>
      </c>
      <c r="H57" s="49" t="s">
        <v>1660</v>
      </c>
      <c r="I57" s="49" t="s">
        <v>1661</v>
      </c>
      <c r="J57" s="49" t="s">
        <v>1409</v>
      </c>
      <c r="K57" s="49"/>
      <c r="L57" s="49"/>
      <c r="M57" s="42" t="s">
        <v>1662</v>
      </c>
      <c r="N57" s="4" t="s">
        <v>37</v>
      </c>
      <c r="O57" s="50" t="s">
        <v>37</v>
      </c>
      <c r="P57" s="50" t="s">
        <v>37</v>
      </c>
    </row>
    <row r="58">
      <c r="A58" s="46">
        <v>45210.0</v>
      </c>
      <c r="B58" s="42" t="s">
        <v>1663</v>
      </c>
      <c r="C58" s="4" t="s">
        <v>740</v>
      </c>
      <c r="D58" s="47">
        <v>5700.0</v>
      </c>
      <c r="E58" s="48" t="s">
        <v>1664</v>
      </c>
      <c r="F58" s="38"/>
      <c r="G58" s="43" t="s">
        <v>1665</v>
      </c>
      <c r="H58" s="43" t="s">
        <v>1666</v>
      </c>
      <c r="I58" s="42" t="s">
        <v>37</v>
      </c>
      <c r="J58" s="43" t="s">
        <v>37</v>
      </c>
      <c r="K58" s="43"/>
      <c r="L58" s="43"/>
      <c r="M58" s="42" t="s">
        <v>1509</v>
      </c>
      <c r="N58" s="42" t="s">
        <v>1390</v>
      </c>
      <c r="O58" s="45"/>
      <c r="P58" s="45"/>
      <c r="Q58" s="38"/>
      <c r="R58" s="38"/>
      <c r="S58" s="38"/>
    </row>
    <row r="59">
      <c r="A59" s="46">
        <v>45308.0</v>
      </c>
      <c r="B59" s="42" t="s">
        <v>1667</v>
      </c>
      <c r="C59" s="4" t="s">
        <v>991</v>
      </c>
      <c r="D59" s="47">
        <v>7900.0</v>
      </c>
      <c r="E59" s="48" t="s">
        <v>228</v>
      </c>
      <c r="F59" s="42" t="s">
        <v>20</v>
      </c>
      <c r="G59" s="43" t="s">
        <v>1665</v>
      </c>
      <c r="H59" s="43" t="s">
        <v>1668</v>
      </c>
      <c r="I59" s="43" t="s">
        <v>1669</v>
      </c>
      <c r="J59" s="43" t="s">
        <v>1670</v>
      </c>
      <c r="K59" s="43"/>
      <c r="L59" s="43"/>
      <c r="M59" s="55" t="s">
        <v>1483</v>
      </c>
      <c r="N59" s="42" t="s">
        <v>1574</v>
      </c>
      <c r="O59" s="45"/>
      <c r="P59" s="45"/>
      <c r="Q59" s="38"/>
      <c r="R59" s="38"/>
      <c r="S59" s="38"/>
    </row>
    <row r="60">
      <c r="A60" s="4" t="s">
        <v>1671</v>
      </c>
      <c r="B60" s="4" t="s">
        <v>1663</v>
      </c>
      <c r="C60" s="4" t="s">
        <v>740</v>
      </c>
      <c r="D60" s="28">
        <v>5700.0</v>
      </c>
      <c r="E60" s="3" t="s">
        <v>1664</v>
      </c>
      <c r="G60" s="49" t="s">
        <v>1665</v>
      </c>
      <c r="H60" s="49" t="s">
        <v>1672</v>
      </c>
      <c r="I60" s="4" t="s">
        <v>37</v>
      </c>
      <c r="J60" s="4" t="s">
        <v>37</v>
      </c>
      <c r="K60" s="4"/>
      <c r="L60" s="4"/>
      <c r="M60" s="42" t="s">
        <v>1618</v>
      </c>
      <c r="N60" s="4" t="s">
        <v>37</v>
      </c>
      <c r="O60" s="50" t="s">
        <v>37</v>
      </c>
      <c r="P60" s="50" t="s">
        <v>37</v>
      </c>
    </row>
    <row r="61">
      <c r="A61" s="46">
        <v>45295.0</v>
      </c>
      <c r="B61" s="42" t="s">
        <v>1673</v>
      </c>
      <c r="C61" s="4" t="s">
        <v>900</v>
      </c>
      <c r="D61" s="47">
        <v>5300.0</v>
      </c>
      <c r="E61" s="48" t="s">
        <v>1458</v>
      </c>
      <c r="F61" s="38"/>
      <c r="G61" s="43" t="s">
        <v>1674</v>
      </c>
      <c r="H61" s="43" t="s">
        <v>1675</v>
      </c>
      <c r="I61" s="43" t="s">
        <v>1676</v>
      </c>
      <c r="J61" s="43" t="s">
        <v>37</v>
      </c>
      <c r="K61" s="43"/>
      <c r="L61" s="43"/>
      <c r="M61" s="42" t="s">
        <v>1421</v>
      </c>
      <c r="N61" s="42" t="s">
        <v>1677</v>
      </c>
      <c r="O61" s="45"/>
      <c r="P61" s="45"/>
      <c r="Q61" s="38"/>
      <c r="R61" s="38"/>
      <c r="S61" s="38"/>
    </row>
    <row r="62">
      <c r="A62" s="46">
        <v>45315.0</v>
      </c>
      <c r="B62" s="4" t="s">
        <v>1678</v>
      </c>
      <c r="C62" s="4" t="s">
        <v>900</v>
      </c>
      <c r="D62" s="28">
        <v>7200.0</v>
      </c>
      <c r="E62" s="3" t="s">
        <v>18</v>
      </c>
      <c r="F62" s="4" t="s">
        <v>20</v>
      </c>
      <c r="G62" s="49" t="s">
        <v>1679</v>
      </c>
      <c r="H62" s="49" t="s">
        <v>1680</v>
      </c>
      <c r="I62" s="49" t="s">
        <v>1681</v>
      </c>
      <c r="J62" s="49" t="s">
        <v>1682</v>
      </c>
      <c r="K62" s="49"/>
      <c r="L62" s="49"/>
      <c r="M62" s="4" t="s">
        <v>1483</v>
      </c>
      <c r="N62" s="4" t="s">
        <v>37</v>
      </c>
      <c r="O62" s="45"/>
      <c r="P62" s="45"/>
      <c r="Q62" s="38"/>
      <c r="R62" s="38"/>
      <c r="S62" s="38"/>
    </row>
    <row r="63">
      <c r="A63" s="4" t="s">
        <v>1683</v>
      </c>
      <c r="B63" s="4" t="s">
        <v>1678</v>
      </c>
      <c r="C63" s="4" t="s">
        <v>900</v>
      </c>
      <c r="D63" s="28">
        <v>7200.0</v>
      </c>
      <c r="E63" s="3" t="s">
        <v>18</v>
      </c>
      <c r="F63" s="4" t="s">
        <v>20</v>
      </c>
      <c r="G63" s="49" t="s">
        <v>1679</v>
      </c>
      <c r="H63" s="49" t="s">
        <v>1680</v>
      </c>
      <c r="I63" s="49" t="s">
        <v>1681</v>
      </c>
      <c r="J63" s="49" t="s">
        <v>1682</v>
      </c>
      <c r="K63" s="49"/>
      <c r="L63" s="49"/>
      <c r="M63" s="4" t="s">
        <v>1483</v>
      </c>
      <c r="N63" s="4" t="s">
        <v>37</v>
      </c>
      <c r="O63" s="50" t="s">
        <v>37</v>
      </c>
      <c r="P63" s="50" t="s">
        <v>37</v>
      </c>
    </row>
    <row r="64">
      <c r="A64" s="54">
        <v>45314.0</v>
      </c>
      <c r="B64" s="38" t="s">
        <v>1684</v>
      </c>
      <c r="C64" s="38" t="s">
        <v>991</v>
      </c>
      <c r="D64" s="40">
        <v>7500.0</v>
      </c>
      <c r="E64" s="41" t="s">
        <v>1520</v>
      </c>
      <c r="F64" s="38" t="s">
        <v>20</v>
      </c>
      <c r="G64" s="43" t="s">
        <v>1685</v>
      </c>
      <c r="H64" s="43" t="s">
        <v>1686</v>
      </c>
      <c r="I64" s="43" t="s">
        <v>1687</v>
      </c>
      <c r="J64" s="43" t="s">
        <v>1409</v>
      </c>
      <c r="K64" s="43"/>
      <c r="L64" s="43"/>
      <c r="M64" s="42" t="s">
        <v>1662</v>
      </c>
      <c r="N64" s="42" t="s">
        <v>1584</v>
      </c>
      <c r="O64" s="45" t="s">
        <v>1688</v>
      </c>
      <c r="P64" s="45"/>
      <c r="Q64" s="38"/>
      <c r="R64" s="38"/>
      <c r="S64" s="38"/>
    </row>
    <row r="65">
      <c r="A65" s="2" t="s">
        <v>1689</v>
      </c>
      <c r="B65" s="38" t="s">
        <v>1684</v>
      </c>
      <c r="C65" s="38" t="s">
        <v>991</v>
      </c>
      <c r="D65" s="40">
        <v>7500.0</v>
      </c>
      <c r="E65" s="41" t="s">
        <v>1520</v>
      </c>
      <c r="F65" s="38" t="s">
        <v>20</v>
      </c>
      <c r="G65" s="43" t="s">
        <v>1685</v>
      </c>
      <c r="H65" s="43" t="s">
        <v>1686</v>
      </c>
      <c r="I65" s="43" t="s">
        <v>1687</v>
      </c>
      <c r="J65" s="43" t="s">
        <v>1409</v>
      </c>
      <c r="K65" s="43"/>
      <c r="L65" s="43"/>
      <c r="M65" s="42" t="s">
        <v>1662</v>
      </c>
      <c r="N65" s="42" t="s">
        <v>1584</v>
      </c>
      <c r="O65" s="45" t="s">
        <v>1688</v>
      </c>
      <c r="P65" s="45" t="s">
        <v>1690</v>
      </c>
    </row>
    <row r="66">
      <c r="A66" s="46">
        <v>45243.0</v>
      </c>
      <c r="B66" s="42" t="s">
        <v>1691</v>
      </c>
      <c r="C66" s="4" t="s">
        <v>876</v>
      </c>
      <c r="D66" s="47">
        <v>5300.0</v>
      </c>
      <c r="E66" s="48" t="s">
        <v>398</v>
      </c>
      <c r="F66" s="38"/>
      <c r="G66" s="43" t="s">
        <v>1692</v>
      </c>
      <c r="H66" s="43" t="s">
        <v>1693</v>
      </c>
      <c r="I66" s="42" t="s">
        <v>37</v>
      </c>
      <c r="J66" s="43" t="s">
        <v>1566</v>
      </c>
      <c r="K66" s="43"/>
      <c r="L66" s="43"/>
      <c r="M66" s="42" t="s">
        <v>1694</v>
      </c>
      <c r="N66" s="42" t="s">
        <v>1574</v>
      </c>
      <c r="O66" s="56"/>
      <c r="P66" s="56"/>
      <c r="Q66" s="38"/>
      <c r="R66" s="38"/>
      <c r="S66" s="38"/>
    </row>
    <row r="67">
      <c r="A67" s="39">
        <v>45177.0</v>
      </c>
      <c r="B67" s="38" t="s">
        <v>1695</v>
      </c>
      <c r="C67" s="38" t="s">
        <v>722</v>
      </c>
      <c r="D67" s="40">
        <v>5800.0</v>
      </c>
      <c r="E67" s="41" t="s">
        <v>1458</v>
      </c>
      <c r="F67" s="38"/>
      <c r="G67" s="43" t="s">
        <v>1696</v>
      </c>
      <c r="H67" s="43" t="s">
        <v>1697</v>
      </c>
      <c r="I67" s="43" t="s">
        <v>1698</v>
      </c>
      <c r="J67" s="42" t="s">
        <v>37</v>
      </c>
      <c r="K67" s="42"/>
      <c r="L67" s="42"/>
      <c r="M67" s="42" t="s">
        <v>1699</v>
      </c>
      <c r="N67" s="42" t="s">
        <v>1641</v>
      </c>
      <c r="O67" s="45" t="s">
        <v>1700</v>
      </c>
      <c r="P67" s="45" t="s">
        <v>1701</v>
      </c>
      <c r="Q67" s="38"/>
      <c r="R67" s="38"/>
      <c r="S67" s="38"/>
    </row>
    <row r="68">
      <c r="A68" s="39">
        <v>45299.0</v>
      </c>
      <c r="B68" s="38" t="s">
        <v>1702</v>
      </c>
      <c r="C68" s="38" t="s">
        <v>972</v>
      </c>
      <c r="D68" s="40">
        <v>6770.0</v>
      </c>
      <c r="E68" s="41" t="s">
        <v>1458</v>
      </c>
      <c r="F68" s="38"/>
      <c r="G68" s="43" t="s">
        <v>1696</v>
      </c>
      <c r="H68" s="43" t="s">
        <v>1703</v>
      </c>
      <c r="I68" s="43" t="s">
        <v>1704</v>
      </c>
      <c r="J68" s="42" t="s">
        <v>37</v>
      </c>
      <c r="K68" s="42"/>
      <c r="L68" s="42"/>
      <c r="M68" s="55" t="s">
        <v>1421</v>
      </c>
      <c r="N68" s="42" t="s">
        <v>1584</v>
      </c>
      <c r="O68" s="45" t="s">
        <v>1705</v>
      </c>
      <c r="P68" s="45" t="s">
        <v>1568</v>
      </c>
      <c r="Q68" s="38"/>
      <c r="R68" s="38"/>
      <c r="S68" s="38"/>
    </row>
    <row r="69">
      <c r="A69" s="46">
        <v>45267.0</v>
      </c>
      <c r="B69" s="4" t="s">
        <v>1706</v>
      </c>
      <c r="C69" s="4" t="s">
        <v>924</v>
      </c>
      <c r="D69" s="28">
        <v>5400.0</v>
      </c>
      <c r="E69" s="3" t="s">
        <v>398</v>
      </c>
      <c r="G69" s="49" t="s">
        <v>1707</v>
      </c>
      <c r="H69" s="4" t="s">
        <v>37</v>
      </c>
      <c r="I69" s="4" t="s">
        <v>37</v>
      </c>
      <c r="J69" s="49" t="s">
        <v>1670</v>
      </c>
      <c r="K69" s="49"/>
      <c r="L69" s="49"/>
      <c r="M69" s="4" t="s">
        <v>1416</v>
      </c>
      <c r="N69" s="4" t="s">
        <v>1708</v>
      </c>
      <c r="O69" s="45"/>
      <c r="P69" s="45"/>
      <c r="Q69" s="38"/>
      <c r="R69" s="38"/>
      <c r="S69" s="38"/>
    </row>
    <row r="70">
      <c r="A70" s="4" t="s">
        <v>1709</v>
      </c>
      <c r="B70" s="4" t="s">
        <v>1706</v>
      </c>
      <c r="C70" s="4" t="s">
        <v>924</v>
      </c>
      <c r="D70" s="28">
        <v>5400.0</v>
      </c>
      <c r="E70" s="3" t="s">
        <v>398</v>
      </c>
      <c r="G70" s="49" t="s">
        <v>1707</v>
      </c>
      <c r="H70" s="4" t="s">
        <v>37</v>
      </c>
      <c r="I70" s="4" t="s">
        <v>37</v>
      </c>
      <c r="J70" s="49" t="s">
        <v>1670</v>
      </c>
      <c r="K70" s="49"/>
      <c r="L70" s="49"/>
      <c r="M70" s="4" t="s">
        <v>1416</v>
      </c>
      <c r="N70" s="4" t="s">
        <v>1708</v>
      </c>
      <c r="O70" s="50" t="s">
        <v>1710</v>
      </c>
      <c r="P70" s="50" t="s">
        <v>1711</v>
      </c>
    </row>
    <row r="71">
      <c r="A71" s="46">
        <v>45231.0</v>
      </c>
      <c r="B71" s="42" t="s">
        <v>1712</v>
      </c>
      <c r="C71" s="4" t="s">
        <v>871</v>
      </c>
      <c r="D71" s="47">
        <v>4400.0</v>
      </c>
      <c r="E71" s="48" t="s">
        <v>398</v>
      </c>
      <c r="F71" s="38"/>
      <c r="G71" s="43" t="s">
        <v>1713</v>
      </c>
      <c r="H71" s="43" t="s">
        <v>37</v>
      </c>
      <c r="I71" s="42" t="s">
        <v>37</v>
      </c>
      <c r="J71" s="42" t="s">
        <v>37</v>
      </c>
      <c r="K71" s="42"/>
      <c r="L71" s="42"/>
      <c r="M71" s="42" t="s">
        <v>1360</v>
      </c>
      <c r="N71" s="42" t="s">
        <v>1714</v>
      </c>
      <c r="O71" s="45"/>
      <c r="P71" s="45"/>
      <c r="Q71" s="38"/>
      <c r="R71" s="38"/>
      <c r="S71" s="38"/>
    </row>
    <row r="72">
      <c r="A72" s="46">
        <v>45251.0</v>
      </c>
      <c r="B72" s="42" t="s">
        <v>1715</v>
      </c>
      <c r="C72" s="4" t="s">
        <v>910</v>
      </c>
      <c r="D72" s="47">
        <v>4600.0</v>
      </c>
      <c r="E72" s="48" t="s">
        <v>395</v>
      </c>
      <c r="F72" s="38"/>
      <c r="G72" s="43" t="s">
        <v>1713</v>
      </c>
      <c r="H72" s="43" t="s">
        <v>37</v>
      </c>
      <c r="I72" s="42" t="s">
        <v>37</v>
      </c>
      <c r="J72" s="42" t="s">
        <v>37</v>
      </c>
      <c r="K72" s="42"/>
      <c r="L72" s="42"/>
      <c r="M72" s="42" t="s">
        <v>1360</v>
      </c>
      <c r="N72" s="42" t="s">
        <v>1714</v>
      </c>
      <c r="O72" s="45"/>
      <c r="P72" s="45"/>
      <c r="Q72" s="38"/>
      <c r="R72" s="38"/>
      <c r="S72" s="38"/>
    </row>
    <row r="73">
      <c r="A73" s="46">
        <v>45271.0</v>
      </c>
      <c r="B73" s="4" t="s">
        <v>1716</v>
      </c>
      <c r="C73" s="4" t="s">
        <v>924</v>
      </c>
      <c r="D73" s="28">
        <v>6400.0</v>
      </c>
      <c r="E73" s="3" t="s">
        <v>398</v>
      </c>
      <c r="G73" s="49" t="s">
        <v>1717</v>
      </c>
      <c r="H73" s="4" t="s">
        <v>37</v>
      </c>
      <c r="I73" s="4" t="s">
        <v>37</v>
      </c>
      <c r="J73" s="49" t="s">
        <v>1718</v>
      </c>
      <c r="K73" s="49"/>
      <c r="L73" s="49"/>
      <c r="M73" s="4" t="s">
        <v>1719</v>
      </c>
      <c r="N73" s="4" t="s">
        <v>37</v>
      </c>
      <c r="O73" s="45"/>
      <c r="P73" s="45"/>
      <c r="Q73" s="38"/>
      <c r="R73" s="38"/>
      <c r="S73" s="38"/>
    </row>
    <row r="74">
      <c r="A74" s="4" t="s">
        <v>1720</v>
      </c>
      <c r="B74" s="4" t="s">
        <v>1716</v>
      </c>
      <c r="C74" s="4" t="s">
        <v>924</v>
      </c>
      <c r="D74" s="28">
        <v>6400.0</v>
      </c>
      <c r="E74" s="3" t="s">
        <v>398</v>
      </c>
      <c r="G74" s="49" t="s">
        <v>1717</v>
      </c>
      <c r="H74" s="4" t="s">
        <v>37</v>
      </c>
      <c r="I74" s="4" t="s">
        <v>37</v>
      </c>
      <c r="J74" s="49" t="s">
        <v>1718</v>
      </c>
      <c r="K74" s="49"/>
      <c r="L74" s="49"/>
      <c r="M74" s="4" t="s">
        <v>1719</v>
      </c>
      <c r="N74" s="4" t="s">
        <v>37</v>
      </c>
      <c r="O74" s="50" t="s">
        <v>37</v>
      </c>
      <c r="P74" s="50" t="s">
        <v>37</v>
      </c>
    </row>
    <row r="75">
      <c r="A75" s="53">
        <v>45377.0</v>
      </c>
      <c r="B75" s="4" t="s">
        <v>1721</v>
      </c>
      <c r="C75" s="4" t="s">
        <v>1107</v>
      </c>
      <c r="D75" s="28">
        <v>4400.0</v>
      </c>
      <c r="E75" s="3" t="s">
        <v>1544</v>
      </c>
      <c r="G75" s="4" t="s">
        <v>1722</v>
      </c>
      <c r="M75" s="4" t="s">
        <v>1425</v>
      </c>
      <c r="O75" s="52"/>
      <c r="P75" s="52"/>
    </row>
    <row r="76">
      <c r="A76" s="51">
        <v>45450.0</v>
      </c>
      <c r="B76" s="4" t="s">
        <v>1519</v>
      </c>
      <c r="C76" s="4" t="s">
        <v>1194</v>
      </c>
      <c r="D76" s="28">
        <v>7200.0</v>
      </c>
      <c r="E76" s="3" t="s">
        <v>1520</v>
      </c>
      <c r="F76" s="4" t="s">
        <v>20</v>
      </c>
      <c r="G76" s="4" t="s">
        <v>1723</v>
      </c>
      <c r="O76" s="52"/>
      <c r="P76" s="52"/>
    </row>
    <row r="77">
      <c r="A77" s="53">
        <v>45364.0</v>
      </c>
      <c r="B77" s="4" t="s">
        <v>1724</v>
      </c>
      <c r="C77" s="4" t="s">
        <v>1107</v>
      </c>
      <c r="D77" s="3" t="s">
        <v>873</v>
      </c>
      <c r="E77" s="3" t="s">
        <v>1544</v>
      </c>
      <c r="G77" s="4" t="s">
        <v>1725</v>
      </c>
      <c r="M77" s="4" t="s">
        <v>1547</v>
      </c>
      <c r="O77" s="52"/>
      <c r="P77" s="52"/>
    </row>
    <row r="78">
      <c r="A78" s="53">
        <v>45365.0</v>
      </c>
      <c r="B78" s="4" t="s">
        <v>1726</v>
      </c>
      <c r="C78" s="4" t="s">
        <v>1111</v>
      </c>
      <c r="D78" s="28">
        <v>4500.0</v>
      </c>
      <c r="E78" s="3" t="s">
        <v>1544</v>
      </c>
      <c r="G78" s="4" t="s">
        <v>1725</v>
      </c>
      <c r="O78" s="52"/>
      <c r="P78" s="52"/>
    </row>
    <row r="79">
      <c r="A79" s="53">
        <v>45369.0</v>
      </c>
      <c r="B79" s="4" t="s">
        <v>1727</v>
      </c>
      <c r="C79" s="4" t="s">
        <v>1111</v>
      </c>
      <c r="D79" s="28">
        <v>4500.0</v>
      </c>
      <c r="E79" s="3" t="s">
        <v>1544</v>
      </c>
      <c r="G79" s="4" t="s">
        <v>1725</v>
      </c>
      <c r="O79" s="52"/>
      <c r="P79" s="52"/>
    </row>
    <row r="80">
      <c r="A80" s="53">
        <v>45370.0</v>
      </c>
      <c r="B80" s="4" t="s">
        <v>1728</v>
      </c>
      <c r="C80" s="4" t="s">
        <v>1111</v>
      </c>
      <c r="D80" s="28">
        <v>4500.0</v>
      </c>
      <c r="E80" s="3" t="s">
        <v>1544</v>
      </c>
      <c r="G80" s="4" t="s">
        <v>1725</v>
      </c>
      <c r="O80" s="52"/>
      <c r="P80" s="52"/>
    </row>
    <row r="81">
      <c r="A81" s="53">
        <v>45371.0</v>
      </c>
      <c r="B81" s="4" t="s">
        <v>1729</v>
      </c>
      <c r="C81" s="4" t="s">
        <v>1111</v>
      </c>
      <c r="D81" s="28">
        <v>4500.0</v>
      </c>
      <c r="E81" s="3" t="s">
        <v>1730</v>
      </c>
      <c r="G81" s="4" t="s">
        <v>1725</v>
      </c>
      <c r="O81" s="52"/>
      <c r="P81" s="52"/>
    </row>
    <row r="82">
      <c r="A82" s="53">
        <v>45372.0</v>
      </c>
      <c r="B82" s="4" t="s">
        <v>1731</v>
      </c>
      <c r="C82" s="4" t="s">
        <v>1111</v>
      </c>
      <c r="D82" s="28">
        <v>4500.0</v>
      </c>
      <c r="E82" s="3" t="s">
        <v>1730</v>
      </c>
      <c r="G82" s="4" t="s">
        <v>1725</v>
      </c>
      <c r="O82" s="52"/>
      <c r="P82" s="52"/>
    </row>
    <row r="83">
      <c r="A83" s="53">
        <v>45373.0</v>
      </c>
      <c r="B83" s="4" t="s">
        <v>1732</v>
      </c>
      <c r="C83" s="4" t="s">
        <v>1107</v>
      </c>
      <c r="D83" s="28">
        <v>4500.0</v>
      </c>
      <c r="E83" s="3" t="s">
        <v>1733</v>
      </c>
      <c r="G83" s="4" t="s">
        <v>1734</v>
      </c>
      <c r="O83" s="52"/>
      <c r="P83" s="52"/>
    </row>
    <row r="84">
      <c r="A84" s="53">
        <v>45376.0</v>
      </c>
      <c r="B84" s="4" t="s">
        <v>1735</v>
      </c>
      <c r="C84" s="4" t="s">
        <v>1107</v>
      </c>
      <c r="D84" s="28">
        <v>4500.0</v>
      </c>
      <c r="E84" s="3" t="s">
        <v>1733</v>
      </c>
      <c r="G84" s="4" t="s">
        <v>1736</v>
      </c>
      <c r="O84" s="52"/>
      <c r="P84" s="52"/>
    </row>
    <row r="85">
      <c r="A85" s="63">
        <v>45187.0</v>
      </c>
      <c r="D85" s="64"/>
      <c r="E85" s="11"/>
      <c r="O85" s="52"/>
      <c r="P85" s="52"/>
    </row>
    <row r="86">
      <c r="A86" s="65">
        <v>45211.0</v>
      </c>
      <c r="B86" s="38"/>
      <c r="C86" s="38"/>
      <c r="D86" s="40"/>
      <c r="E86" s="41"/>
      <c r="F86" s="38"/>
      <c r="G86" s="43"/>
      <c r="H86" s="43"/>
      <c r="I86" s="42"/>
      <c r="J86" s="43"/>
      <c r="K86" s="43"/>
      <c r="L86" s="43"/>
      <c r="M86" s="42"/>
      <c r="N86" s="42"/>
      <c r="O86" s="45"/>
      <c r="P86" s="45"/>
      <c r="Q86" s="38"/>
      <c r="R86" s="38"/>
      <c r="S86" s="38"/>
    </row>
    <row r="87">
      <c r="A87" s="65">
        <v>45212.0</v>
      </c>
      <c r="B87" s="38"/>
      <c r="C87" s="38"/>
      <c r="D87" s="40"/>
      <c r="E87" s="41"/>
      <c r="F87" s="38"/>
      <c r="G87" s="43"/>
      <c r="H87" s="43"/>
      <c r="I87" s="42"/>
      <c r="J87" s="43"/>
      <c r="K87" s="43"/>
      <c r="L87" s="43"/>
      <c r="M87" s="42"/>
      <c r="N87" s="42"/>
      <c r="O87" s="45"/>
      <c r="P87" s="45"/>
      <c r="Q87" s="38"/>
      <c r="R87" s="38"/>
      <c r="S87" s="38"/>
    </row>
    <row r="88">
      <c r="A88" s="65">
        <v>45215.0</v>
      </c>
      <c r="B88" s="38"/>
      <c r="C88" s="38"/>
      <c r="D88" s="40"/>
      <c r="E88" s="41"/>
      <c r="F88" s="38"/>
      <c r="G88" s="43"/>
      <c r="H88" s="43"/>
      <c r="I88" s="42"/>
      <c r="J88" s="43"/>
      <c r="K88" s="43"/>
      <c r="L88" s="43"/>
      <c r="M88" s="42"/>
      <c r="N88" s="42"/>
      <c r="O88" s="45"/>
      <c r="P88" s="45"/>
      <c r="Q88" s="38"/>
      <c r="R88" s="38"/>
      <c r="S88" s="38"/>
    </row>
    <row r="89">
      <c r="A89" s="46">
        <v>45230.0</v>
      </c>
      <c r="B89" s="38"/>
      <c r="C89" s="38"/>
      <c r="D89" s="40"/>
      <c r="E89" s="41"/>
      <c r="F89" s="38"/>
      <c r="G89" s="43"/>
      <c r="H89" s="43"/>
      <c r="I89" s="42"/>
      <c r="J89" s="42"/>
      <c r="K89" s="42"/>
      <c r="L89" s="42"/>
      <c r="M89" s="42"/>
      <c r="N89" s="42"/>
      <c r="O89" s="45"/>
      <c r="P89" s="45"/>
      <c r="Q89" s="38"/>
      <c r="R89" s="38"/>
      <c r="S89" s="38"/>
    </row>
    <row r="90">
      <c r="A90" s="46">
        <v>45229.0</v>
      </c>
      <c r="B90" s="38"/>
      <c r="C90" s="38"/>
      <c r="D90" s="40"/>
      <c r="E90" s="41"/>
      <c r="F90" s="38"/>
      <c r="G90" s="43"/>
      <c r="H90" s="43"/>
      <c r="I90" s="43"/>
      <c r="J90" s="42"/>
      <c r="K90" s="42"/>
      <c r="L90" s="42"/>
      <c r="M90" s="42"/>
      <c r="N90" s="42"/>
      <c r="O90" s="45"/>
      <c r="P90" s="45"/>
      <c r="Q90" s="38"/>
      <c r="R90" s="38"/>
      <c r="S90" s="38"/>
    </row>
    <row r="91">
      <c r="A91" s="46">
        <v>45252.0</v>
      </c>
      <c r="B91" s="38"/>
      <c r="C91" s="38"/>
      <c r="D91" s="40"/>
      <c r="E91" s="41"/>
      <c r="F91" s="38"/>
      <c r="G91" s="43"/>
      <c r="H91" s="43"/>
      <c r="I91" s="43"/>
      <c r="J91" s="42"/>
      <c r="K91" s="42"/>
      <c r="L91" s="42"/>
      <c r="M91" s="42"/>
      <c r="N91" s="42"/>
      <c r="O91" s="45"/>
      <c r="P91" s="45"/>
      <c r="Q91" s="38"/>
      <c r="R91" s="38"/>
      <c r="S91" s="38"/>
    </row>
    <row r="92">
      <c r="A92" s="46">
        <v>45208.0</v>
      </c>
      <c r="B92" s="38"/>
      <c r="C92" s="38"/>
      <c r="D92" s="40"/>
      <c r="E92" s="41"/>
      <c r="F92" s="38"/>
      <c r="G92" s="43"/>
      <c r="H92" s="43"/>
      <c r="I92" s="43"/>
      <c r="J92" s="42"/>
      <c r="K92" s="42"/>
      <c r="L92" s="42"/>
      <c r="M92" s="42"/>
      <c r="N92" s="42"/>
      <c r="O92" s="45"/>
      <c r="P92" s="45"/>
      <c r="Q92" s="38"/>
      <c r="R92" s="38"/>
      <c r="S92" s="38"/>
    </row>
    <row r="93">
      <c r="A93" s="46">
        <v>45209.0</v>
      </c>
      <c r="B93" s="38"/>
      <c r="C93" s="38"/>
      <c r="D93" s="40"/>
      <c r="E93" s="41"/>
      <c r="F93" s="38"/>
      <c r="G93" s="43"/>
      <c r="H93" s="43"/>
      <c r="I93" s="43"/>
      <c r="J93" s="42"/>
      <c r="K93" s="42"/>
      <c r="L93" s="42"/>
      <c r="M93" s="42"/>
      <c r="N93" s="42"/>
      <c r="O93" s="45"/>
      <c r="P93" s="45"/>
      <c r="Q93" s="38"/>
      <c r="R93" s="38"/>
      <c r="S93" s="38"/>
    </row>
    <row r="94">
      <c r="A94" s="46">
        <v>45225.0</v>
      </c>
      <c r="B94" s="38"/>
      <c r="C94" s="38"/>
      <c r="D94" s="40"/>
      <c r="E94" s="41"/>
      <c r="F94" s="38"/>
      <c r="G94" s="43"/>
      <c r="H94" s="43"/>
      <c r="I94" s="43"/>
      <c r="J94" s="42"/>
      <c r="K94" s="42"/>
      <c r="L94" s="42"/>
      <c r="M94" s="42"/>
      <c r="N94" s="42"/>
      <c r="O94" s="45"/>
      <c r="P94" s="45"/>
      <c r="Q94" s="38"/>
      <c r="R94" s="38"/>
      <c r="S94" s="38"/>
    </row>
    <row r="95">
      <c r="A95" s="46">
        <v>45184.0</v>
      </c>
      <c r="B95" s="42" t="s">
        <v>1737</v>
      </c>
      <c r="C95" s="4" t="s">
        <v>745</v>
      </c>
      <c r="D95" s="47">
        <v>6000.0</v>
      </c>
      <c r="E95" s="48" t="s">
        <v>1738</v>
      </c>
      <c r="F95" s="38"/>
      <c r="G95" s="43"/>
      <c r="H95" s="43"/>
      <c r="I95" s="43"/>
      <c r="J95" s="42"/>
      <c r="K95" s="42"/>
      <c r="L95" s="42"/>
      <c r="M95" s="42"/>
      <c r="N95" s="42"/>
      <c r="O95" s="45"/>
      <c r="P95" s="45"/>
      <c r="Q95" s="38"/>
      <c r="R95" s="38"/>
      <c r="S95" s="38"/>
    </row>
    <row r="96">
      <c r="A96" s="46">
        <v>45196.0</v>
      </c>
      <c r="B96" s="38"/>
      <c r="C96" s="38"/>
      <c r="D96" s="40"/>
      <c r="E96" s="41"/>
      <c r="F96" s="38"/>
      <c r="G96" s="43"/>
      <c r="H96" s="43"/>
      <c r="I96" s="43"/>
      <c r="J96" s="42"/>
      <c r="K96" s="42"/>
      <c r="L96" s="42"/>
      <c r="M96" s="42"/>
      <c r="N96" s="42"/>
      <c r="O96" s="45"/>
      <c r="P96" s="45"/>
      <c r="Q96" s="38"/>
      <c r="R96" s="38"/>
      <c r="S96" s="38"/>
    </row>
    <row r="97">
      <c r="A97" s="46">
        <v>45200.0</v>
      </c>
      <c r="B97" s="38"/>
      <c r="C97" s="38"/>
      <c r="D97" s="40"/>
      <c r="E97" s="41"/>
      <c r="F97" s="38"/>
      <c r="G97" s="43"/>
      <c r="H97" s="43"/>
      <c r="I97" s="43"/>
      <c r="J97" s="42"/>
      <c r="K97" s="42"/>
      <c r="L97" s="42"/>
      <c r="M97" s="42"/>
      <c r="N97" s="42"/>
      <c r="O97" s="45"/>
      <c r="P97" s="45"/>
      <c r="Q97" s="38"/>
      <c r="R97" s="38"/>
      <c r="S97" s="38"/>
    </row>
    <row r="98">
      <c r="A98" s="46">
        <v>45201.0</v>
      </c>
      <c r="B98" s="38"/>
      <c r="C98" s="38"/>
      <c r="D98" s="40"/>
      <c r="E98" s="41"/>
      <c r="F98" s="38"/>
      <c r="G98" s="43"/>
      <c r="H98" s="43"/>
      <c r="I98" s="43"/>
      <c r="J98" s="42"/>
      <c r="K98" s="42"/>
      <c r="L98" s="42"/>
      <c r="M98" s="42"/>
      <c r="N98" s="42"/>
      <c r="O98" s="45"/>
      <c r="P98" s="45"/>
      <c r="Q98" s="38"/>
      <c r="R98" s="38"/>
      <c r="S98" s="38"/>
    </row>
    <row r="99">
      <c r="A99" s="46">
        <v>45226.0</v>
      </c>
      <c r="B99" s="42"/>
      <c r="C99" s="4"/>
      <c r="D99" s="47"/>
      <c r="E99" s="48"/>
      <c r="F99" s="38"/>
      <c r="G99" s="43"/>
      <c r="H99" s="49"/>
      <c r="I99" s="43"/>
      <c r="J99" s="42"/>
      <c r="K99" s="42"/>
      <c r="L99" s="42"/>
      <c r="M99" s="42"/>
      <c r="N99" s="42"/>
      <c r="O99" s="45"/>
      <c r="P99" s="45"/>
      <c r="Q99" s="38"/>
      <c r="R99" s="38"/>
      <c r="S99" s="38"/>
    </row>
    <row r="100">
      <c r="A100" s="46">
        <v>45236.0</v>
      </c>
      <c r="B100" s="38"/>
      <c r="C100" s="38"/>
      <c r="D100" s="40"/>
      <c r="E100" s="41"/>
      <c r="F100" s="38"/>
      <c r="G100" s="38"/>
      <c r="H100" s="38"/>
      <c r="I100" s="38"/>
      <c r="J100" s="38"/>
      <c r="K100" s="38"/>
      <c r="L100" s="38"/>
      <c r="M100" s="38"/>
      <c r="N100" s="38"/>
      <c r="O100" s="56"/>
      <c r="P100" s="56"/>
      <c r="Q100" s="38"/>
      <c r="R100" s="38"/>
      <c r="S100" s="38"/>
    </row>
    <row r="101">
      <c r="A101" s="46">
        <v>45240.0</v>
      </c>
      <c r="B101" s="38"/>
      <c r="C101" s="38"/>
      <c r="D101" s="40"/>
      <c r="E101" s="41"/>
      <c r="F101" s="38"/>
      <c r="G101" s="38"/>
      <c r="H101" s="38"/>
      <c r="I101" s="38"/>
      <c r="J101" s="38"/>
      <c r="K101" s="38"/>
      <c r="L101" s="38"/>
      <c r="M101" s="38"/>
      <c r="N101" s="38"/>
      <c r="O101" s="56"/>
      <c r="P101" s="56"/>
      <c r="Q101" s="38"/>
      <c r="R101" s="38"/>
      <c r="S101" s="38"/>
    </row>
    <row r="102">
      <c r="A102" s="46">
        <v>45244.0</v>
      </c>
      <c r="B102" s="38"/>
      <c r="C102" s="38"/>
      <c r="D102" s="40"/>
      <c r="E102" s="41"/>
      <c r="F102" s="38"/>
      <c r="G102" s="38"/>
      <c r="H102" s="38"/>
      <c r="I102" s="38"/>
      <c r="J102" s="38"/>
      <c r="K102" s="38"/>
      <c r="L102" s="38"/>
      <c r="M102" s="38"/>
      <c r="N102" s="38"/>
      <c r="O102" s="56"/>
      <c r="P102" s="56"/>
      <c r="Q102" s="38"/>
      <c r="R102" s="38"/>
      <c r="S102" s="38"/>
    </row>
    <row r="103">
      <c r="A103" s="46">
        <v>45247.0</v>
      </c>
      <c r="B103" s="38"/>
      <c r="C103" s="38"/>
      <c r="D103" s="40"/>
      <c r="E103" s="41"/>
      <c r="F103" s="38"/>
      <c r="G103" s="38"/>
      <c r="H103" s="38"/>
      <c r="I103" s="38"/>
      <c r="J103" s="38"/>
      <c r="K103" s="38"/>
      <c r="L103" s="38"/>
      <c r="M103" s="38"/>
      <c r="N103" s="38"/>
      <c r="O103" s="56"/>
      <c r="P103" s="56"/>
      <c r="Q103" s="38"/>
      <c r="R103" s="38"/>
      <c r="S103" s="38"/>
    </row>
    <row r="104">
      <c r="A104" s="46">
        <v>45250.0</v>
      </c>
      <c r="B104" s="38"/>
      <c r="C104" s="38"/>
      <c r="D104" s="40"/>
      <c r="E104" s="41"/>
      <c r="F104" s="38"/>
      <c r="G104" s="38"/>
      <c r="H104" s="38"/>
      <c r="I104" s="38"/>
      <c r="J104" s="38"/>
      <c r="K104" s="38"/>
      <c r="L104" s="38"/>
      <c r="M104" s="38"/>
      <c r="N104" s="38"/>
      <c r="O104" s="56"/>
      <c r="P104" s="56"/>
      <c r="Q104" s="38"/>
      <c r="R104" s="38"/>
      <c r="S104" s="38"/>
    </row>
    <row r="105">
      <c r="A105" s="46">
        <v>45191.0</v>
      </c>
      <c r="B105" s="42" t="s">
        <v>1739</v>
      </c>
      <c r="C105" s="4" t="s">
        <v>773</v>
      </c>
      <c r="D105" s="47">
        <v>5200.0</v>
      </c>
      <c r="E105" s="48" t="s">
        <v>1740</v>
      </c>
      <c r="F105" s="38"/>
      <c r="G105" s="38"/>
      <c r="H105" s="38"/>
      <c r="I105" s="38"/>
      <c r="J105" s="38"/>
      <c r="K105" s="38"/>
      <c r="L105" s="38"/>
      <c r="M105" s="38"/>
      <c r="N105" s="42" t="s">
        <v>1641</v>
      </c>
      <c r="O105" s="56"/>
      <c r="P105" s="56"/>
      <c r="Q105" s="38"/>
      <c r="R105" s="38"/>
      <c r="S105" s="38"/>
    </row>
    <row r="106">
      <c r="A106" s="46">
        <v>45246.0</v>
      </c>
      <c r="B106" s="38"/>
      <c r="C106" s="38"/>
      <c r="D106" s="40"/>
      <c r="E106" s="41"/>
      <c r="F106" s="38"/>
      <c r="G106" s="42"/>
      <c r="H106" s="43"/>
      <c r="I106" s="43"/>
      <c r="J106" s="42"/>
      <c r="K106" s="42"/>
      <c r="L106" s="42"/>
      <c r="M106" s="42"/>
      <c r="N106" s="42"/>
      <c r="O106" s="45"/>
      <c r="P106" s="45"/>
      <c r="Q106" s="38"/>
      <c r="R106" s="38"/>
      <c r="S106" s="38"/>
    </row>
    <row r="107">
      <c r="A107" s="46">
        <v>45265.0</v>
      </c>
      <c r="B107" s="38"/>
      <c r="C107" s="38"/>
      <c r="D107" s="40"/>
      <c r="E107" s="41"/>
      <c r="F107" s="38"/>
      <c r="G107" s="42"/>
      <c r="H107" s="43"/>
      <c r="I107" s="43"/>
      <c r="J107" s="42"/>
      <c r="K107" s="42"/>
      <c r="L107" s="42"/>
      <c r="M107" s="42"/>
      <c r="N107" s="42"/>
      <c r="O107" s="45"/>
      <c r="P107" s="45"/>
      <c r="Q107" s="38"/>
      <c r="R107" s="38"/>
      <c r="S107" s="38"/>
    </row>
    <row r="108">
      <c r="A108" s="46">
        <v>45293.0</v>
      </c>
      <c r="B108" s="38"/>
      <c r="C108" s="38"/>
      <c r="D108" s="40"/>
      <c r="E108" s="41"/>
      <c r="F108" s="38"/>
      <c r="G108" s="43"/>
      <c r="H108" s="43"/>
      <c r="I108" s="43"/>
      <c r="J108" s="43"/>
      <c r="K108" s="43"/>
      <c r="L108" s="43"/>
      <c r="M108" s="42"/>
      <c r="N108" s="42"/>
      <c r="O108" s="45"/>
      <c r="P108" s="45"/>
      <c r="Q108" s="38"/>
      <c r="R108" s="38"/>
      <c r="S108" s="38"/>
    </row>
    <row r="109">
      <c r="A109" s="46">
        <v>45294.0</v>
      </c>
      <c r="B109" s="38"/>
      <c r="C109" s="38"/>
      <c r="D109" s="40"/>
      <c r="E109" s="41"/>
      <c r="F109" s="38"/>
      <c r="G109" s="43"/>
      <c r="H109" s="43"/>
      <c r="I109" s="43"/>
      <c r="J109" s="43"/>
      <c r="K109" s="43"/>
      <c r="L109" s="43"/>
      <c r="M109" s="42"/>
      <c r="N109" s="42"/>
      <c r="O109" s="45"/>
      <c r="P109" s="45"/>
      <c r="Q109" s="38"/>
      <c r="R109" s="38"/>
      <c r="S109" s="38"/>
    </row>
    <row r="110">
      <c r="A110" s="46">
        <v>45316.0</v>
      </c>
      <c r="B110" s="38"/>
      <c r="C110" s="38"/>
      <c r="D110" s="40"/>
      <c r="E110" s="41"/>
      <c r="F110" s="38"/>
      <c r="G110" s="43"/>
      <c r="H110" s="43"/>
      <c r="I110" s="43"/>
      <c r="J110" s="43"/>
      <c r="K110" s="43"/>
      <c r="L110" s="43"/>
      <c r="M110" s="42"/>
      <c r="N110" s="42"/>
      <c r="O110" s="45"/>
      <c r="P110" s="45"/>
      <c r="Q110" s="38"/>
      <c r="R110" s="38"/>
      <c r="S110" s="38"/>
    </row>
    <row r="111">
      <c r="A111" s="46">
        <v>45317.0</v>
      </c>
      <c r="B111" s="38"/>
      <c r="C111" s="38"/>
      <c r="D111" s="40"/>
      <c r="E111" s="41"/>
      <c r="F111" s="38"/>
      <c r="G111" s="43"/>
      <c r="H111" s="43"/>
      <c r="I111" s="43"/>
      <c r="J111" s="43"/>
      <c r="K111" s="43"/>
      <c r="L111" s="43"/>
      <c r="M111" s="42"/>
      <c r="N111" s="42"/>
      <c r="O111" s="45"/>
      <c r="P111" s="45"/>
      <c r="Q111" s="38"/>
      <c r="R111" s="38"/>
      <c r="S111" s="38"/>
    </row>
    <row r="112">
      <c r="A112" s="46">
        <v>45320.0</v>
      </c>
      <c r="B112" s="38"/>
      <c r="C112" s="38"/>
      <c r="D112" s="40"/>
      <c r="E112" s="41"/>
      <c r="F112" s="38"/>
      <c r="G112" s="43"/>
      <c r="H112" s="43"/>
      <c r="I112" s="43"/>
      <c r="J112" s="43"/>
      <c r="K112" s="43"/>
      <c r="L112" s="43"/>
      <c r="M112" s="42"/>
      <c r="N112" s="42"/>
      <c r="O112" s="45"/>
      <c r="P112" s="45"/>
      <c r="Q112" s="38"/>
      <c r="R112" s="38"/>
      <c r="S112" s="38"/>
    </row>
    <row r="113">
      <c r="A113" s="46">
        <v>45259.0</v>
      </c>
      <c r="B113" s="38"/>
      <c r="C113" s="38"/>
      <c r="D113" s="40"/>
      <c r="E113" s="41"/>
      <c r="F113" s="38"/>
      <c r="G113" s="59"/>
      <c r="H113" s="43"/>
      <c r="I113" s="43"/>
      <c r="J113" s="42"/>
      <c r="K113" s="42"/>
      <c r="L113" s="42"/>
      <c r="M113" s="42"/>
      <c r="N113" s="42"/>
      <c r="O113" s="45"/>
      <c r="P113" s="45"/>
      <c r="Q113" s="38"/>
      <c r="R113" s="38"/>
      <c r="S113" s="38"/>
    </row>
    <row r="114">
      <c r="A114" s="46">
        <v>45264.0</v>
      </c>
      <c r="B114" s="38"/>
      <c r="C114" s="38"/>
      <c r="D114" s="40"/>
      <c r="E114" s="41"/>
      <c r="F114" s="38"/>
      <c r="G114" s="59"/>
      <c r="H114" s="43"/>
      <c r="I114" s="43"/>
      <c r="J114" s="42"/>
      <c r="K114" s="42"/>
      <c r="L114" s="42"/>
      <c r="M114" s="42"/>
      <c r="N114" s="42"/>
      <c r="O114" s="45"/>
      <c r="P114" s="45"/>
      <c r="Q114" s="38"/>
      <c r="R114" s="38"/>
      <c r="S114" s="38"/>
    </row>
    <row r="115">
      <c r="A115" s="46">
        <v>45282.0</v>
      </c>
      <c r="B115" s="38"/>
      <c r="C115" s="38"/>
      <c r="D115" s="40"/>
      <c r="E115" s="41"/>
      <c r="F115" s="38"/>
      <c r="G115" s="59"/>
      <c r="H115" s="43"/>
      <c r="I115" s="43"/>
      <c r="J115" s="42"/>
      <c r="K115" s="42"/>
      <c r="L115" s="42"/>
      <c r="M115" s="42"/>
      <c r="N115" s="42"/>
      <c r="O115" s="45"/>
      <c r="P115" s="45"/>
      <c r="Q115" s="38"/>
      <c r="R115" s="38"/>
      <c r="S115" s="38"/>
    </row>
    <row r="116">
      <c r="A116" s="46">
        <v>45296.0</v>
      </c>
      <c r="B116" s="38"/>
      <c r="C116" s="38"/>
      <c r="D116" s="40"/>
      <c r="E116" s="41"/>
      <c r="F116" s="38"/>
      <c r="G116" s="59"/>
      <c r="H116" s="43"/>
      <c r="I116" s="43"/>
      <c r="J116" s="42"/>
      <c r="K116" s="42"/>
      <c r="L116" s="42"/>
      <c r="M116" s="42"/>
      <c r="N116" s="42"/>
      <c r="O116" s="45"/>
      <c r="P116" s="45"/>
      <c r="Q116" s="38"/>
      <c r="R116" s="38"/>
      <c r="S116" s="38"/>
    </row>
    <row r="117">
      <c r="A117" s="46">
        <v>45303.0</v>
      </c>
      <c r="B117" s="38"/>
      <c r="C117" s="38"/>
      <c r="D117" s="40"/>
      <c r="E117" s="41"/>
      <c r="F117" s="38"/>
      <c r="G117" s="43"/>
      <c r="H117" s="43"/>
      <c r="I117" s="43"/>
      <c r="J117" s="42"/>
      <c r="K117" s="42"/>
      <c r="L117" s="42"/>
      <c r="M117" s="55"/>
      <c r="N117" s="42"/>
      <c r="O117" s="45"/>
      <c r="P117" s="45"/>
      <c r="Q117" s="38"/>
      <c r="R117" s="38"/>
      <c r="S117" s="38"/>
    </row>
    <row r="118">
      <c r="A118" s="46">
        <v>45307.0</v>
      </c>
      <c r="B118" s="38"/>
      <c r="C118" s="38"/>
      <c r="D118" s="40"/>
      <c r="E118" s="41"/>
      <c r="F118" s="38"/>
      <c r="G118" s="43"/>
      <c r="H118" s="43"/>
      <c r="I118" s="43"/>
      <c r="J118" s="42"/>
      <c r="K118" s="42"/>
      <c r="L118" s="42"/>
      <c r="M118" s="55"/>
      <c r="N118" s="42"/>
      <c r="O118" s="45"/>
      <c r="P118" s="45"/>
      <c r="Q118" s="38"/>
      <c r="R118" s="38"/>
      <c r="S118" s="38"/>
    </row>
    <row r="119">
      <c r="A119" s="46">
        <v>45309.0</v>
      </c>
      <c r="B119" s="38"/>
      <c r="C119" s="38"/>
      <c r="D119" s="40"/>
      <c r="E119" s="41"/>
      <c r="F119" s="38"/>
      <c r="G119" s="43"/>
      <c r="H119" s="43"/>
      <c r="I119" s="43"/>
      <c r="J119" s="42"/>
      <c r="K119" s="42"/>
      <c r="L119" s="42"/>
      <c r="M119" s="55"/>
      <c r="N119" s="42"/>
      <c r="O119" s="45"/>
      <c r="P119" s="45"/>
      <c r="Q119" s="38"/>
      <c r="R119" s="38"/>
      <c r="S119" s="38"/>
    </row>
    <row r="120">
      <c r="A120" s="46">
        <v>45310.0</v>
      </c>
      <c r="B120" s="38"/>
      <c r="C120" s="38"/>
      <c r="D120" s="40"/>
      <c r="E120" s="41"/>
      <c r="F120" s="38"/>
      <c r="G120" s="43"/>
      <c r="H120" s="43"/>
      <c r="I120" s="43"/>
      <c r="J120" s="42"/>
      <c r="K120" s="42"/>
      <c r="L120" s="42"/>
      <c r="M120" s="55"/>
      <c r="N120" s="42"/>
      <c r="O120" s="45"/>
      <c r="P120" s="45"/>
      <c r="Q120" s="38"/>
      <c r="R120" s="38"/>
      <c r="S120" s="38"/>
    </row>
    <row r="121">
      <c r="A121" s="46">
        <v>45324.0</v>
      </c>
      <c r="B121" s="38"/>
      <c r="C121" s="38"/>
      <c r="D121" s="40"/>
      <c r="E121" s="41"/>
      <c r="F121" s="38"/>
      <c r="G121" s="43"/>
      <c r="H121" s="43"/>
      <c r="I121" s="43"/>
      <c r="J121" s="43"/>
      <c r="K121" s="43"/>
      <c r="L121" s="43"/>
      <c r="M121" s="42"/>
      <c r="N121" s="42"/>
      <c r="O121" s="45"/>
      <c r="P121" s="45"/>
      <c r="Q121" s="38"/>
      <c r="R121" s="38"/>
      <c r="S121" s="38"/>
    </row>
    <row r="122">
      <c r="A122" s="46">
        <v>45260.0</v>
      </c>
      <c r="B122" s="38"/>
      <c r="C122" s="38"/>
      <c r="D122" s="40"/>
      <c r="E122" s="41"/>
      <c r="F122" s="38"/>
      <c r="G122" s="43"/>
      <c r="H122" s="43"/>
      <c r="I122" s="43"/>
      <c r="J122" s="43"/>
      <c r="K122" s="43"/>
      <c r="L122" s="43"/>
      <c r="M122" s="42"/>
      <c r="N122" s="42"/>
      <c r="O122" s="45"/>
      <c r="P122" s="45"/>
      <c r="Q122" s="38"/>
      <c r="R122" s="38"/>
      <c r="S122" s="38"/>
    </row>
    <row r="123">
      <c r="A123" s="46">
        <v>45266.0</v>
      </c>
      <c r="B123" s="38"/>
      <c r="C123" s="38"/>
      <c r="D123" s="40"/>
      <c r="E123" s="41"/>
      <c r="F123" s="38"/>
      <c r="G123" s="43"/>
      <c r="H123" s="43"/>
      <c r="I123" s="43"/>
      <c r="J123" s="43"/>
      <c r="K123" s="43"/>
      <c r="L123" s="43"/>
      <c r="M123" s="42"/>
      <c r="N123" s="42"/>
      <c r="O123" s="45"/>
      <c r="P123" s="45"/>
      <c r="Q123" s="38"/>
      <c r="R123" s="38"/>
      <c r="S123" s="38"/>
    </row>
    <row r="124">
      <c r="A124" s="46">
        <v>45272.0</v>
      </c>
      <c r="B124" s="38"/>
      <c r="C124" s="38"/>
      <c r="D124" s="40"/>
      <c r="E124" s="41"/>
      <c r="F124" s="38"/>
      <c r="G124" s="43"/>
      <c r="H124" s="43"/>
      <c r="I124" s="43"/>
      <c r="J124" s="43"/>
      <c r="K124" s="43"/>
      <c r="L124" s="43"/>
      <c r="M124" s="42"/>
      <c r="N124" s="42"/>
      <c r="O124" s="45"/>
      <c r="P124" s="45"/>
      <c r="Q124" s="38"/>
      <c r="R124" s="38"/>
      <c r="S124" s="38"/>
    </row>
    <row r="125">
      <c r="A125" s="46">
        <v>45273.0</v>
      </c>
      <c r="B125" s="38"/>
      <c r="C125" s="38"/>
      <c r="D125" s="40"/>
      <c r="E125" s="41"/>
      <c r="F125" s="38"/>
      <c r="G125" s="43"/>
      <c r="H125" s="43"/>
      <c r="I125" s="43"/>
      <c r="J125" s="43"/>
      <c r="K125" s="43"/>
      <c r="L125" s="43"/>
      <c r="M125" s="42"/>
      <c r="N125" s="42"/>
      <c r="O125" s="45"/>
      <c r="P125" s="45"/>
      <c r="Q125" s="38"/>
      <c r="R125" s="38"/>
      <c r="S125" s="38"/>
    </row>
    <row r="126">
      <c r="A126" s="46">
        <v>45274.0</v>
      </c>
      <c r="B126" s="38"/>
      <c r="C126" s="38"/>
      <c r="D126" s="40"/>
      <c r="E126" s="41"/>
      <c r="F126" s="38"/>
      <c r="G126" s="43"/>
      <c r="H126" s="43"/>
      <c r="I126" s="43"/>
      <c r="J126" s="43"/>
      <c r="K126" s="43"/>
      <c r="L126" s="43"/>
      <c r="M126" s="42"/>
      <c r="N126" s="42"/>
      <c r="O126" s="45"/>
      <c r="P126" s="45"/>
      <c r="Q126" s="38"/>
      <c r="R126" s="38"/>
      <c r="S126" s="38"/>
    </row>
    <row r="127">
      <c r="A127" s="46">
        <v>45280.0</v>
      </c>
      <c r="B127" s="38"/>
      <c r="C127" s="38"/>
      <c r="D127" s="40"/>
      <c r="E127" s="41"/>
      <c r="F127" s="38"/>
      <c r="G127" s="43"/>
      <c r="H127" s="43"/>
      <c r="I127" s="43"/>
      <c r="J127" s="43"/>
      <c r="K127" s="43"/>
      <c r="L127" s="43"/>
      <c r="M127" s="42"/>
      <c r="N127" s="42"/>
      <c r="O127" s="45"/>
      <c r="P127" s="45"/>
      <c r="Q127" s="38"/>
      <c r="R127" s="38"/>
      <c r="S127" s="38"/>
    </row>
    <row r="128">
      <c r="A128" s="46">
        <v>45281.0</v>
      </c>
      <c r="B128" s="38"/>
      <c r="C128" s="38"/>
      <c r="D128" s="40"/>
      <c r="E128" s="41"/>
      <c r="F128" s="38"/>
      <c r="G128" s="43"/>
      <c r="H128" s="43"/>
      <c r="I128" s="43"/>
      <c r="J128" s="43"/>
      <c r="K128" s="43"/>
      <c r="L128" s="43"/>
      <c r="M128" s="42"/>
      <c r="N128" s="42"/>
      <c r="O128" s="45"/>
      <c r="P128" s="45"/>
      <c r="Q128" s="38"/>
      <c r="R128" s="38"/>
      <c r="S128" s="38"/>
    </row>
    <row r="129">
      <c r="A129" s="46">
        <v>45301.0</v>
      </c>
      <c r="B129" s="38"/>
      <c r="C129" s="38"/>
      <c r="D129" s="40"/>
      <c r="E129" s="41"/>
      <c r="F129" s="38"/>
      <c r="G129" s="43"/>
      <c r="H129" s="43"/>
      <c r="I129" s="43"/>
      <c r="J129" s="43"/>
      <c r="K129" s="43"/>
      <c r="L129" s="43"/>
      <c r="M129" s="42"/>
      <c r="N129" s="42"/>
      <c r="O129" s="45"/>
      <c r="P129" s="45"/>
      <c r="Q129" s="38"/>
      <c r="R129" s="38"/>
      <c r="S129" s="38"/>
    </row>
    <row r="130">
      <c r="A130" s="46">
        <v>45302.0</v>
      </c>
      <c r="B130" s="38"/>
      <c r="C130" s="38"/>
      <c r="D130" s="40"/>
      <c r="E130" s="41"/>
      <c r="F130" s="38"/>
      <c r="G130" s="43"/>
      <c r="H130" s="43"/>
      <c r="I130" s="43"/>
      <c r="J130" s="43"/>
      <c r="K130" s="43"/>
      <c r="L130" s="43"/>
      <c r="M130" s="42"/>
      <c r="N130" s="42"/>
      <c r="O130" s="45"/>
      <c r="P130" s="45"/>
      <c r="Q130" s="38"/>
      <c r="R130" s="38"/>
      <c r="S130" s="38"/>
    </row>
    <row r="131">
      <c r="A131" s="46">
        <v>45328.0</v>
      </c>
      <c r="B131" s="38"/>
      <c r="C131" s="38"/>
      <c r="D131" s="40"/>
      <c r="E131" s="41"/>
      <c r="F131" s="38"/>
      <c r="G131" s="43"/>
      <c r="H131" s="43"/>
      <c r="I131" s="43"/>
      <c r="J131" s="43"/>
      <c r="K131" s="43"/>
      <c r="L131" s="43"/>
      <c r="M131" s="42"/>
      <c r="N131" s="42"/>
      <c r="O131" s="45"/>
      <c r="P131" s="45"/>
      <c r="Q131" s="38"/>
      <c r="R131" s="38"/>
      <c r="S131" s="38"/>
    </row>
    <row r="132">
      <c r="A132" s="46">
        <v>45331.0</v>
      </c>
      <c r="B132" s="38"/>
      <c r="C132" s="38"/>
      <c r="D132" s="60"/>
      <c r="E132" s="41"/>
      <c r="F132" s="38"/>
      <c r="G132" s="43"/>
      <c r="H132" s="43"/>
      <c r="I132" s="43"/>
      <c r="J132" s="43"/>
      <c r="K132" s="43"/>
      <c r="L132" s="43"/>
      <c r="M132" s="42"/>
      <c r="N132" s="42"/>
      <c r="O132" s="45"/>
      <c r="P132" s="45"/>
      <c r="Q132" s="38"/>
      <c r="R132" s="38"/>
      <c r="S132" s="38"/>
    </row>
    <row r="133">
      <c r="A133" s="46">
        <v>45334.0</v>
      </c>
      <c r="B133" s="38"/>
      <c r="C133" s="38"/>
      <c r="D133" s="60"/>
      <c r="E133" s="41"/>
      <c r="F133" s="38"/>
      <c r="G133" s="43"/>
      <c r="H133" s="43"/>
      <c r="I133" s="43"/>
      <c r="J133" s="43"/>
      <c r="K133" s="43"/>
      <c r="L133" s="43"/>
      <c r="M133" s="42"/>
      <c r="N133" s="42"/>
      <c r="O133" s="45"/>
      <c r="P133" s="45"/>
      <c r="Q133" s="38"/>
      <c r="R133" s="38"/>
      <c r="S133" s="38"/>
    </row>
    <row r="134">
      <c r="A134" s="46">
        <v>45336.0</v>
      </c>
      <c r="B134" s="38"/>
      <c r="C134" s="38"/>
      <c r="D134" s="60"/>
      <c r="E134" s="41"/>
      <c r="F134" s="38"/>
      <c r="G134" s="43"/>
      <c r="H134" s="43"/>
      <c r="I134" s="43"/>
      <c r="J134" s="43"/>
      <c r="K134" s="43"/>
      <c r="L134" s="43"/>
      <c r="M134" s="42"/>
      <c r="N134" s="42"/>
      <c r="O134" s="45"/>
      <c r="P134" s="45"/>
      <c r="Q134" s="38"/>
      <c r="R134" s="38"/>
      <c r="S134" s="38"/>
    </row>
    <row r="135">
      <c r="A135" s="46">
        <v>45337.0</v>
      </c>
      <c r="B135" s="38"/>
      <c r="C135" s="38"/>
      <c r="D135" s="60"/>
      <c r="E135" s="41"/>
      <c r="F135" s="38"/>
      <c r="G135" s="43"/>
      <c r="H135" s="43"/>
      <c r="I135" s="43"/>
      <c r="J135" s="43"/>
      <c r="K135" s="43"/>
      <c r="L135" s="43"/>
      <c r="M135" s="42"/>
      <c r="N135" s="42"/>
      <c r="O135" s="45"/>
      <c r="P135" s="45"/>
      <c r="Q135" s="38"/>
      <c r="R135" s="38"/>
      <c r="S135" s="38"/>
    </row>
    <row r="136">
      <c r="A136" s="61" t="s">
        <v>1741</v>
      </c>
      <c r="B136" s="38"/>
      <c r="C136" s="38"/>
      <c r="D136" s="60"/>
      <c r="E136" s="41"/>
      <c r="F136" s="38"/>
      <c r="G136" s="43"/>
      <c r="H136" s="43"/>
      <c r="I136" s="43"/>
      <c r="J136" s="43"/>
      <c r="K136" s="43"/>
      <c r="L136" s="43"/>
      <c r="M136" s="42"/>
      <c r="N136" s="42"/>
      <c r="O136" s="45"/>
      <c r="P136" s="45"/>
      <c r="Q136" s="38"/>
      <c r="R136" s="38"/>
      <c r="S136" s="38"/>
    </row>
    <row r="137">
      <c r="A137" s="61" t="s">
        <v>1742</v>
      </c>
      <c r="B137" s="38"/>
      <c r="C137" s="38"/>
      <c r="D137" s="60"/>
      <c r="E137" s="41"/>
      <c r="F137" s="38"/>
      <c r="G137" s="43"/>
      <c r="H137" s="43"/>
      <c r="I137" s="43"/>
      <c r="J137" s="43"/>
      <c r="K137" s="43"/>
      <c r="L137" s="43"/>
      <c r="M137" s="42"/>
      <c r="N137" s="42"/>
      <c r="O137" s="45"/>
      <c r="P137" s="45"/>
      <c r="Q137" s="38"/>
      <c r="R137" s="38"/>
      <c r="S137" s="38"/>
    </row>
    <row r="138">
      <c r="D138" s="64"/>
      <c r="E138" s="11"/>
      <c r="O138" s="52"/>
      <c r="P138" s="52"/>
    </row>
    <row r="139">
      <c r="A139" s="66" t="s">
        <v>1743</v>
      </c>
      <c r="D139" s="64"/>
      <c r="E139" s="11"/>
      <c r="O139" s="52"/>
      <c r="P139" s="52"/>
    </row>
    <row r="140">
      <c r="A140" s="67"/>
      <c r="D140" s="64"/>
      <c r="E140" s="11"/>
      <c r="O140" s="52"/>
      <c r="P140" s="52"/>
    </row>
    <row r="141">
      <c r="A141" s="67"/>
      <c r="D141" s="64"/>
      <c r="E141" s="11"/>
      <c r="O141" s="52"/>
      <c r="P141" s="52"/>
    </row>
    <row r="142">
      <c r="A142" s="67"/>
      <c r="D142" s="64"/>
      <c r="E142" s="11"/>
      <c r="O142" s="52"/>
      <c r="P142" s="52"/>
    </row>
    <row r="143">
      <c r="D143" s="64"/>
      <c r="E143" s="11"/>
      <c r="O143" s="52"/>
      <c r="P143" s="52"/>
    </row>
    <row r="144">
      <c r="D144" s="64"/>
      <c r="E144" s="11"/>
      <c r="O144" s="52"/>
      <c r="P144" s="52"/>
    </row>
    <row r="145">
      <c r="D145" s="64"/>
      <c r="E145" s="11"/>
      <c r="O145" s="52"/>
      <c r="P145" s="52"/>
    </row>
    <row r="146">
      <c r="D146" s="64"/>
      <c r="E146" s="11"/>
      <c r="O146" s="52"/>
      <c r="P146" s="52"/>
    </row>
    <row r="147">
      <c r="A147" s="4" t="s">
        <v>917</v>
      </c>
      <c r="D147" s="64"/>
      <c r="E147" s="11"/>
      <c r="O147" s="52"/>
      <c r="P147" s="52"/>
    </row>
    <row r="148">
      <c r="D148" s="64"/>
      <c r="E148" s="11"/>
      <c r="O148" s="52"/>
      <c r="P148" s="52"/>
    </row>
    <row r="149">
      <c r="D149" s="64"/>
      <c r="E149" s="11"/>
      <c r="O149" s="52"/>
      <c r="P149" s="52"/>
    </row>
    <row r="150">
      <c r="D150" s="64"/>
      <c r="E150" s="11"/>
      <c r="O150" s="52"/>
      <c r="P150" s="52"/>
    </row>
    <row r="151">
      <c r="D151" s="64"/>
      <c r="E151" s="11"/>
      <c r="O151" s="52"/>
      <c r="P151" s="52"/>
    </row>
    <row r="152">
      <c r="D152" s="64"/>
      <c r="E152" s="11"/>
      <c r="O152" s="52"/>
      <c r="P152" s="52"/>
    </row>
    <row r="153">
      <c r="D153" s="64"/>
      <c r="E153" s="11"/>
      <c r="O153" s="52"/>
      <c r="P153" s="52"/>
    </row>
    <row r="154">
      <c r="D154" s="64"/>
      <c r="E154" s="11"/>
      <c r="O154" s="52"/>
      <c r="P154" s="52"/>
    </row>
    <row r="155">
      <c r="A155" s="68">
        <v>45400.0</v>
      </c>
      <c r="B155" s="42" t="s">
        <v>1744</v>
      </c>
      <c r="C155" s="4" t="s">
        <v>1165</v>
      </c>
      <c r="D155" s="28">
        <v>6100.0</v>
      </c>
      <c r="E155" s="3" t="s">
        <v>1285</v>
      </c>
      <c r="F155" s="4" t="s">
        <v>20</v>
      </c>
      <c r="M155" s="4" t="s">
        <v>1745</v>
      </c>
      <c r="O155" s="52"/>
      <c r="P155" s="52"/>
    </row>
    <row r="156">
      <c r="D156" s="64"/>
      <c r="E156" s="11"/>
      <c r="O156" s="52"/>
      <c r="P156" s="52"/>
    </row>
    <row r="157">
      <c r="D157" s="64"/>
      <c r="E157" s="11"/>
      <c r="O157" s="52"/>
      <c r="P157" s="52"/>
    </row>
    <row r="158">
      <c r="A158" s="4" t="s">
        <v>10</v>
      </c>
      <c r="B158" s="58">
        <v>45391.0</v>
      </c>
      <c r="C158" s="4" t="s">
        <v>1746</v>
      </c>
      <c r="D158" s="64"/>
      <c r="E158" s="11"/>
      <c r="O158" s="52"/>
      <c r="P158" s="52"/>
    </row>
    <row r="159">
      <c r="B159" s="68">
        <v>45400.0</v>
      </c>
      <c r="C159" s="4" t="s">
        <v>1747</v>
      </c>
      <c r="D159" s="64"/>
      <c r="E159" s="11"/>
      <c r="O159" s="52"/>
      <c r="P159" s="52"/>
    </row>
    <row r="160">
      <c r="D160" s="64"/>
      <c r="E160" s="11"/>
      <c r="O160" s="52"/>
      <c r="P160" s="52"/>
    </row>
    <row r="161">
      <c r="O161" s="52"/>
      <c r="P161" s="52"/>
    </row>
    <row r="162">
      <c r="A162" s="4" t="s">
        <v>1748</v>
      </c>
      <c r="D162" s="64"/>
      <c r="E162" s="11"/>
      <c r="O162" s="52"/>
      <c r="P162" s="52"/>
    </row>
    <row r="163">
      <c r="D163" s="64"/>
      <c r="E163" s="11"/>
      <c r="O163" s="52"/>
      <c r="P163" s="52"/>
    </row>
    <row r="164">
      <c r="A164" s="29"/>
      <c r="D164" s="64"/>
      <c r="E164" s="11"/>
      <c r="O164" s="52"/>
      <c r="P164" s="52"/>
    </row>
    <row r="165">
      <c r="A165" s="29"/>
      <c r="D165" s="64"/>
      <c r="E165" s="11"/>
      <c r="O165" s="52"/>
      <c r="P165" s="52"/>
    </row>
    <row r="166">
      <c r="A166" s="29"/>
      <c r="D166" s="64"/>
      <c r="E166" s="11"/>
      <c r="O166" s="52"/>
      <c r="P166" s="52"/>
    </row>
    <row r="167">
      <c r="A167" s="4" t="s">
        <v>1749</v>
      </c>
      <c r="D167" s="64"/>
      <c r="E167" s="11"/>
      <c r="O167" s="52"/>
      <c r="P167" s="52"/>
    </row>
    <row r="168">
      <c r="A168" s="29"/>
      <c r="D168" s="64"/>
      <c r="E168" s="11"/>
      <c r="O168" s="52"/>
      <c r="P168" s="52"/>
    </row>
    <row r="169">
      <c r="A169" s="29"/>
      <c r="D169" s="64"/>
      <c r="E169" s="11"/>
      <c r="O169" s="52"/>
      <c r="P169" s="52"/>
    </row>
    <row r="170">
      <c r="A170" s="29">
        <v>45359.0</v>
      </c>
      <c r="B170" s="4" t="s">
        <v>1750</v>
      </c>
      <c r="C170" s="4" t="s">
        <v>862</v>
      </c>
      <c r="D170" s="28">
        <v>5700.0</v>
      </c>
      <c r="E170" s="3" t="s">
        <v>1285</v>
      </c>
      <c r="F170" s="4" t="s">
        <v>20</v>
      </c>
      <c r="O170" s="52"/>
      <c r="P170" s="52"/>
    </row>
    <row r="171">
      <c r="A171" s="29">
        <v>45362.0</v>
      </c>
      <c r="B171" s="4" t="s">
        <v>1751</v>
      </c>
      <c r="C171" s="4" t="s">
        <v>1096</v>
      </c>
      <c r="D171" s="28">
        <v>6900.0</v>
      </c>
      <c r="E171" s="3" t="s">
        <v>1285</v>
      </c>
      <c r="F171" s="4" t="s">
        <v>20</v>
      </c>
      <c r="O171" s="52"/>
      <c r="P171" s="52"/>
    </row>
    <row r="172">
      <c r="A172" s="29">
        <v>45386.0</v>
      </c>
      <c r="B172" s="4" t="s">
        <v>1752</v>
      </c>
      <c r="C172" s="4" t="s">
        <v>1138</v>
      </c>
      <c r="D172" s="28">
        <v>6000.0</v>
      </c>
      <c r="E172" s="3" t="s">
        <v>1753</v>
      </c>
      <c r="F172" s="4" t="s">
        <v>254</v>
      </c>
      <c r="O172" s="52"/>
      <c r="P172" s="52"/>
    </row>
    <row r="173">
      <c r="A173" s="29">
        <v>45387.0</v>
      </c>
      <c r="D173" s="64"/>
      <c r="E173" s="11"/>
      <c r="O173" s="52"/>
      <c r="P173" s="52"/>
    </row>
    <row r="174">
      <c r="A174" s="29">
        <v>45388.0</v>
      </c>
      <c r="D174" s="64"/>
      <c r="E174" s="11"/>
      <c r="O174" s="52"/>
      <c r="P174" s="52"/>
    </row>
    <row r="175">
      <c r="A175" s="29">
        <v>45389.0</v>
      </c>
      <c r="D175" s="64"/>
      <c r="E175" s="11"/>
      <c r="O175" s="52"/>
      <c r="P175" s="52"/>
    </row>
    <row r="176">
      <c r="A176" s="29">
        <v>45391.0</v>
      </c>
      <c r="D176" s="64"/>
      <c r="E176" s="11"/>
      <c r="O176" s="52"/>
      <c r="P176" s="52"/>
    </row>
    <row r="177">
      <c r="A177" s="29">
        <v>45393.0</v>
      </c>
      <c r="D177" s="64"/>
      <c r="E177" s="11"/>
      <c r="O177" s="52"/>
      <c r="P177" s="52"/>
    </row>
    <row r="178">
      <c r="A178" s="29">
        <v>45395.0</v>
      </c>
      <c r="D178" s="64"/>
      <c r="E178" s="11"/>
      <c r="O178" s="52"/>
      <c r="P178" s="52"/>
    </row>
    <row r="179">
      <c r="A179" s="29">
        <v>45396.0</v>
      </c>
      <c r="D179" s="64"/>
      <c r="E179" s="11"/>
      <c r="O179" s="52"/>
      <c r="P179" s="52"/>
    </row>
    <row r="180">
      <c r="A180" s="29">
        <v>45397.0</v>
      </c>
      <c r="D180" s="64"/>
      <c r="E180" s="11"/>
      <c r="O180" s="52"/>
      <c r="P180" s="52"/>
    </row>
    <row r="181">
      <c r="A181" s="29">
        <v>45398.0</v>
      </c>
      <c r="B181" s="4" t="s">
        <v>1754</v>
      </c>
      <c r="C181" s="4" t="s">
        <v>991</v>
      </c>
      <c r="D181" s="28">
        <v>7600.0</v>
      </c>
      <c r="E181" s="3" t="s">
        <v>228</v>
      </c>
      <c r="F181" s="4" t="s">
        <v>20</v>
      </c>
      <c r="O181" s="52"/>
      <c r="P181" s="52"/>
    </row>
    <row r="182">
      <c r="A182" s="29">
        <v>45400.0</v>
      </c>
      <c r="B182" s="4" t="s">
        <v>1744</v>
      </c>
      <c r="C182" s="4" t="s">
        <v>1165</v>
      </c>
      <c r="D182" s="3" t="s">
        <v>853</v>
      </c>
      <c r="E182" s="3" t="s">
        <v>1285</v>
      </c>
      <c r="F182" s="4" t="s">
        <v>20</v>
      </c>
      <c r="O182" s="52"/>
      <c r="P182" s="52"/>
    </row>
    <row r="183">
      <c r="A183" s="29">
        <v>45401.0</v>
      </c>
      <c r="D183" s="64"/>
      <c r="E183" s="11"/>
      <c r="O183" s="52"/>
      <c r="P183" s="52"/>
    </row>
    <row r="184">
      <c r="A184" s="29">
        <v>45402.0</v>
      </c>
      <c r="D184" s="64"/>
      <c r="E184" s="11"/>
      <c r="O184" s="52"/>
      <c r="P184" s="52"/>
    </row>
    <row r="185">
      <c r="A185" s="29">
        <v>45403.0</v>
      </c>
      <c r="D185" s="64"/>
      <c r="E185" s="11"/>
      <c r="O185" s="52"/>
      <c r="P185" s="52"/>
    </row>
    <row r="186">
      <c r="A186" s="29">
        <v>45404.0</v>
      </c>
      <c r="D186" s="64"/>
      <c r="E186" s="11"/>
      <c r="O186" s="52"/>
      <c r="P186" s="52"/>
    </row>
    <row r="187">
      <c r="A187" s="29">
        <v>45405.0</v>
      </c>
      <c r="D187" s="64"/>
      <c r="E187" s="11"/>
      <c r="O187" s="52"/>
      <c r="P187" s="52"/>
    </row>
    <row r="188">
      <c r="A188" s="29">
        <v>45406.0</v>
      </c>
      <c r="D188" s="64"/>
      <c r="E188" s="11"/>
      <c r="O188" s="52"/>
      <c r="P188" s="52"/>
    </row>
    <row r="189">
      <c r="A189" s="29">
        <v>45407.0</v>
      </c>
      <c r="D189" s="64"/>
      <c r="E189" s="11"/>
      <c r="O189" s="52"/>
      <c r="P189" s="52"/>
    </row>
    <row r="190">
      <c r="A190" s="29">
        <v>45408.0</v>
      </c>
      <c r="D190" s="64"/>
      <c r="E190" s="11"/>
      <c r="O190" s="52"/>
      <c r="P190" s="52"/>
    </row>
    <row r="191">
      <c r="A191" s="29">
        <v>45409.0</v>
      </c>
      <c r="D191" s="64"/>
      <c r="E191" s="11"/>
      <c r="O191" s="52"/>
      <c r="P191" s="52"/>
    </row>
    <row r="192">
      <c r="A192" s="29">
        <v>45410.0</v>
      </c>
      <c r="D192" s="64"/>
      <c r="E192" s="11"/>
      <c r="O192" s="52"/>
      <c r="P192" s="52"/>
    </row>
    <row r="193">
      <c r="A193" s="29">
        <v>45411.0</v>
      </c>
      <c r="D193" s="64"/>
      <c r="E193" s="11"/>
      <c r="O193" s="52"/>
      <c r="P193" s="52"/>
    </row>
    <row r="194">
      <c r="A194" s="29">
        <v>45412.0</v>
      </c>
      <c r="D194" s="64"/>
      <c r="E194" s="11"/>
      <c r="O194" s="52"/>
      <c r="P194" s="52"/>
    </row>
    <row r="195">
      <c r="A195" s="29">
        <v>45413.0</v>
      </c>
      <c r="D195" s="64"/>
      <c r="E195" s="11"/>
      <c r="O195" s="52"/>
      <c r="P195" s="52"/>
    </row>
    <row r="196">
      <c r="A196" s="29">
        <v>45414.0</v>
      </c>
      <c r="D196" s="64"/>
      <c r="E196" s="11"/>
      <c r="O196" s="52"/>
      <c r="P196" s="52"/>
    </row>
    <row r="197">
      <c r="A197" s="29">
        <v>45415.0</v>
      </c>
      <c r="D197" s="64"/>
      <c r="E197" s="11"/>
      <c r="O197" s="52"/>
      <c r="P197" s="52"/>
    </row>
    <row r="198">
      <c r="A198" s="29">
        <v>45416.0</v>
      </c>
      <c r="D198" s="64"/>
      <c r="E198" s="11"/>
      <c r="O198" s="52"/>
      <c r="P198" s="52"/>
    </row>
    <row r="199">
      <c r="A199" s="29">
        <v>45417.0</v>
      </c>
      <c r="D199" s="64"/>
      <c r="E199" s="11"/>
      <c r="O199" s="52"/>
      <c r="P199" s="52"/>
    </row>
    <row r="200">
      <c r="A200" s="29">
        <v>45418.0</v>
      </c>
      <c r="D200" s="64"/>
      <c r="E200" s="11"/>
      <c r="O200" s="52"/>
      <c r="P200" s="52"/>
    </row>
    <row r="201">
      <c r="A201" s="29">
        <v>45419.0</v>
      </c>
      <c r="D201" s="64"/>
      <c r="E201" s="11"/>
      <c r="O201" s="52"/>
      <c r="P201" s="52"/>
    </row>
    <row r="202">
      <c r="A202" s="29">
        <v>45420.0</v>
      </c>
      <c r="D202" s="64"/>
      <c r="E202" s="11"/>
      <c r="O202" s="52"/>
      <c r="P202" s="52"/>
    </row>
    <row r="203">
      <c r="A203" s="29">
        <v>45421.0</v>
      </c>
      <c r="D203" s="64"/>
      <c r="E203" s="11"/>
      <c r="O203" s="52"/>
      <c r="P203" s="52"/>
    </row>
    <row r="204">
      <c r="A204" s="29">
        <v>45422.0</v>
      </c>
      <c r="D204" s="64"/>
      <c r="E204" s="11"/>
      <c r="O204" s="52"/>
      <c r="P204" s="52"/>
    </row>
    <row r="205">
      <c r="A205" s="29">
        <v>45423.0</v>
      </c>
      <c r="D205" s="64"/>
      <c r="E205" s="11"/>
      <c r="O205" s="52"/>
      <c r="P205" s="52"/>
    </row>
    <row r="206">
      <c r="A206" s="29">
        <v>45424.0</v>
      </c>
      <c r="D206" s="64"/>
      <c r="E206" s="11"/>
      <c r="O206" s="52"/>
      <c r="P206" s="52"/>
    </row>
    <row r="207">
      <c r="A207" s="29">
        <v>45425.0</v>
      </c>
      <c r="D207" s="64"/>
      <c r="E207" s="11"/>
      <c r="O207" s="52"/>
      <c r="P207" s="52"/>
    </row>
    <row r="208">
      <c r="A208" s="29">
        <v>45426.0</v>
      </c>
      <c r="D208" s="64"/>
      <c r="E208" s="11"/>
      <c r="O208" s="52"/>
      <c r="P208" s="52"/>
    </row>
    <row r="209">
      <c r="A209" s="29">
        <v>45427.0</v>
      </c>
      <c r="D209" s="64"/>
      <c r="E209" s="11"/>
      <c r="O209" s="52"/>
      <c r="P209" s="52"/>
    </row>
    <row r="210">
      <c r="A210" s="29">
        <v>45428.0</v>
      </c>
      <c r="D210" s="64"/>
      <c r="E210" s="11"/>
      <c r="O210" s="52"/>
      <c r="P210" s="52"/>
    </row>
    <row r="211">
      <c r="A211" s="29">
        <v>45429.0</v>
      </c>
      <c r="D211" s="64"/>
      <c r="E211" s="11"/>
      <c r="O211" s="52"/>
      <c r="P211" s="52"/>
    </row>
    <row r="212">
      <c r="A212" s="29">
        <v>45430.0</v>
      </c>
      <c r="D212" s="64"/>
      <c r="E212" s="11"/>
      <c r="O212" s="52"/>
      <c r="P212" s="52"/>
    </row>
    <row r="213">
      <c r="A213" s="29">
        <v>45431.0</v>
      </c>
      <c r="D213" s="64"/>
      <c r="E213" s="11"/>
      <c r="O213" s="52"/>
      <c r="P213" s="52"/>
    </row>
    <row r="214">
      <c r="A214" s="29">
        <v>45432.0</v>
      </c>
      <c r="D214" s="64"/>
      <c r="E214" s="11"/>
      <c r="O214" s="52"/>
      <c r="P214" s="52"/>
    </row>
    <row r="215">
      <c r="A215" s="29">
        <v>45433.0</v>
      </c>
      <c r="D215" s="64"/>
      <c r="E215" s="11"/>
      <c r="O215" s="52"/>
      <c r="P215" s="52"/>
    </row>
    <row r="216">
      <c r="A216" s="29">
        <v>45434.0</v>
      </c>
      <c r="D216" s="64"/>
      <c r="E216" s="11"/>
      <c r="O216" s="52"/>
      <c r="P216" s="52"/>
    </row>
    <row r="217">
      <c r="A217" s="29">
        <v>45435.0</v>
      </c>
      <c r="D217" s="64"/>
      <c r="E217" s="11"/>
      <c r="O217" s="52"/>
      <c r="P217" s="52"/>
    </row>
    <row r="218">
      <c r="A218" s="29">
        <v>45436.0</v>
      </c>
      <c r="D218" s="64"/>
      <c r="E218" s="11"/>
      <c r="O218" s="52"/>
      <c r="P218" s="52"/>
    </row>
    <row r="219">
      <c r="A219" s="29">
        <v>45437.0</v>
      </c>
      <c r="D219" s="64"/>
      <c r="E219" s="11"/>
      <c r="O219" s="52"/>
      <c r="P219" s="52"/>
    </row>
    <row r="220">
      <c r="A220" s="29">
        <v>45438.0</v>
      </c>
      <c r="D220" s="64"/>
      <c r="E220" s="11"/>
      <c r="O220" s="52"/>
      <c r="P220" s="52"/>
    </row>
    <row r="221">
      <c r="A221" s="29">
        <v>45439.0</v>
      </c>
      <c r="D221" s="64"/>
      <c r="E221" s="11"/>
      <c r="O221" s="52"/>
      <c r="P221" s="52"/>
    </row>
    <row r="222">
      <c r="A222" s="29">
        <v>45440.0</v>
      </c>
      <c r="D222" s="64"/>
      <c r="E222" s="11"/>
      <c r="O222" s="52"/>
      <c r="P222" s="52"/>
    </row>
    <row r="223">
      <c r="A223" s="29">
        <v>45441.0</v>
      </c>
      <c r="D223" s="64"/>
      <c r="E223" s="11"/>
      <c r="O223" s="52"/>
      <c r="P223" s="52"/>
    </row>
    <row r="224">
      <c r="A224" s="29">
        <v>45442.0</v>
      </c>
      <c r="D224" s="64"/>
      <c r="E224" s="11"/>
      <c r="O224" s="52"/>
      <c r="P224" s="52"/>
    </row>
    <row r="225">
      <c r="A225" s="29">
        <v>45443.0</v>
      </c>
      <c r="D225" s="64"/>
      <c r="E225" s="11"/>
      <c r="O225" s="52"/>
      <c r="P225" s="52"/>
    </row>
    <row r="226">
      <c r="A226" s="29">
        <v>45444.0</v>
      </c>
      <c r="D226" s="64"/>
      <c r="E226" s="11"/>
      <c r="O226" s="52"/>
      <c r="P226" s="52"/>
    </row>
    <row r="227">
      <c r="A227" s="29">
        <v>45445.0</v>
      </c>
      <c r="D227" s="64"/>
      <c r="E227" s="11"/>
      <c r="O227" s="52"/>
      <c r="P227" s="52"/>
    </row>
    <row r="228">
      <c r="A228" s="29">
        <v>45446.0</v>
      </c>
      <c r="D228" s="64"/>
      <c r="E228" s="11"/>
      <c r="O228" s="52"/>
      <c r="P228" s="52"/>
    </row>
    <row r="229">
      <c r="A229" s="29">
        <v>45447.0</v>
      </c>
      <c r="D229" s="64"/>
      <c r="E229" s="11"/>
      <c r="O229" s="52"/>
      <c r="P229" s="52"/>
    </row>
    <row r="230">
      <c r="A230" s="29">
        <v>45448.0</v>
      </c>
      <c r="D230" s="64"/>
      <c r="E230" s="11"/>
      <c r="O230" s="52"/>
      <c r="P230" s="52"/>
    </row>
    <row r="231">
      <c r="A231" s="29">
        <v>45451.0</v>
      </c>
      <c r="D231" s="64"/>
      <c r="E231" s="11"/>
      <c r="O231" s="52"/>
      <c r="P231" s="52"/>
    </row>
    <row r="232">
      <c r="A232" s="29">
        <v>45452.0</v>
      </c>
      <c r="D232" s="64"/>
      <c r="E232" s="11"/>
      <c r="O232" s="52"/>
      <c r="P232" s="52"/>
    </row>
    <row r="233">
      <c r="A233" s="29">
        <v>45453.0</v>
      </c>
      <c r="D233" s="64"/>
      <c r="E233" s="11"/>
      <c r="O233" s="52"/>
      <c r="P233" s="52"/>
    </row>
    <row r="234">
      <c r="A234" s="29">
        <v>45454.0</v>
      </c>
      <c r="D234" s="64"/>
      <c r="E234" s="11"/>
      <c r="O234" s="52"/>
      <c r="P234" s="52"/>
    </row>
    <row r="235">
      <c r="A235" s="29">
        <v>45455.0</v>
      </c>
      <c r="D235" s="64"/>
      <c r="E235" s="11"/>
      <c r="O235" s="52"/>
      <c r="P235" s="52"/>
    </row>
    <row r="236">
      <c r="A236" s="29">
        <v>45456.0</v>
      </c>
      <c r="D236" s="64"/>
      <c r="E236" s="11"/>
      <c r="O236" s="52"/>
      <c r="P236" s="52"/>
    </row>
    <row r="237">
      <c r="A237" s="29">
        <v>45457.0</v>
      </c>
      <c r="D237" s="64"/>
      <c r="E237" s="11"/>
      <c r="O237" s="52"/>
      <c r="P237" s="52"/>
    </row>
    <row r="238">
      <c r="A238" s="29">
        <v>45458.0</v>
      </c>
      <c r="D238" s="64"/>
      <c r="E238" s="11"/>
      <c r="O238" s="52"/>
      <c r="P238" s="52"/>
    </row>
    <row r="239">
      <c r="A239" s="29">
        <v>45459.0</v>
      </c>
      <c r="D239" s="64"/>
      <c r="E239" s="11"/>
      <c r="O239" s="52"/>
      <c r="P239" s="52"/>
    </row>
    <row r="240">
      <c r="A240" s="29">
        <v>45460.0</v>
      </c>
      <c r="D240" s="64"/>
      <c r="E240" s="11"/>
      <c r="O240" s="52"/>
      <c r="P240" s="52"/>
    </row>
    <row r="241">
      <c r="A241" s="29">
        <v>45461.0</v>
      </c>
      <c r="D241" s="64"/>
      <c r="E241" s="11"/>
      <c r="O241" s="52"/>
      <c r="P241" s="52"/>
    </row>
    <row r="242">
      <c r="A242" s="29">
        <v>45462.0</v>
      </c>
      <c r="D242" s="64"/>
      <c r="E242" s="11"/>
      <c r="O242" s="52"/>
      <c r="P242" s="52"/>
    </row>
    <row r="243">
      <c r="A243" s="29">
        <v>45463.0</v>
      </c>
      <c r="D243" s="64"/>
      <c r="E243" s="11"/>
      <c r="O243" s="52"/>
      <c r="P243" s="52"/>
    </row>
    <row r="244">
      <c r="A244" s="29">
        <v>45464.0</v>
      </c>
      <c r="D244" s="64"/>
      <c r="E244" s="11"/>
      <c r="O244" s="52"/>
      <c r="P244" s="52"/>
    </row>
    <row r="245">
      <c r="A245" s="29">
        <v>45465.0</v>
      </c>
      <c r="D245" s="64"/>
      <c r="E245" s="11"/>
      <c r="O245" s="52"/>
      <c r="P245" s="52"/>
    </row>
    <row r="246">
      <c r="A246" s="29">
        <v>45466.0</v>
      </c>
      <c r="D246" s="64"/>
      <c r="E246" s="11"/>
      <c r="O246" s="52"/>
      <c r="P246" s="52"/>
    </row>
    <row r="247">
      <c r="A247" s="29">
        <v>45467.0</v>
      </c>
      <c r="D247" s="64"/>
      <c r="E247" s="11"/>
      <c r="O247" s="52"/>
      <c r="P247" s="52"/>
    </row>
    <row r="248">
      <c r="A248" s="29">
        <v>45468.0</v>
      </c>
      <c r="D248" s="64"/>
      <c r="E248" s="11"/>
      <c r="O248" s="52"/>
      <c r="P248" s="52"/>
    </row>
    <row r="249">
      <c r="A249" s="29">
        <v>45469.0</v>
      </c>
      <c r="D249" s="64"/>
      <c r="E249" s="11"/>
      <c r="O249" s="52"/>
      <c r="P249" s="52"/>
    </row>
    <row r="250">
      <c r="A250" s="29">
        <v>45470.0</v>
      </c>
      <c r="D250" s="64"/>
      <c r="E250" s="11"/>
      <c r="O250" s="52"/>
      <c r="P250" s="52"/>
    </row>
    <row r="251">
      <c r="A251" s="29">
        <v>45471.0</v>
      </c>
      <c r="D251" s="64"/>
      <c r="E251" s="11"/>
      <c r="O251" s="52"/>
      <c r="P251" s="52"/>
    </row>
    <row r="252">
      <c r="A252" s="29">
        <v>45472.0</v>
      </c>
      <c r="D252" s="64"/>
      <c r="E252" s="11"/>
      <c r="O252" s="52"/>
      <c r="P252" s="52"/>
    </row>
    <row r="253">
      <c r="A253" s="29">
        <v>45473.0</v>
      </c>
      <c r="D253" s="64"/>
      <c r="E253" s="11"/>
      <c r="O253" s="52"/>
      <c r="P253" s="52"/>
    </row>
    <row r="254">
      <c r="A254" s="29">
        <v>45474.0</v>
      </c>
      <c r="D254" s="64"/>
      <c r="E254" s="11"/>
      <c r="O254" s="52"/>
      <c r="P254" s="52"/>
    </row>
    <row r="255">
      <c r="A255" s="29">
        <v>45475.0</v>
      </c>
      <c r="D255" s="64"/>
      <c r="E255" s="11"/>
      <c r="O255" s="52"/>
      <c r="P255" s="52"/>
    </row>
    <row r="256">
      <c r="A256" s="29">
        <v>45476.0</v>
      </c>
      <c r="D256" s="64"/>
      <c r="E256" s="11"/>
      <c r="O256" s="52"/>
      <c r="P256" s="52"/>
    </row>
    <row r="257">
      <c r="A257" s="29">
        <v>45477.0</v>
      </c>
      <c r="D257" s="64"/>
      <c r="E257" s="11"/>
      <c r="O257" s="52"/>
      <c r="P257" s="52"/>
    </row>
    <row r="258">
      <c r="A258" s="29">
        <v>45478.0</v>
      </c>
      <c r="D258" s="64"/>
      <c r="E258" s="11"/>
      <c r="O258" s="52"/>
      <c r="P258" s="52"/>
    </row>
    <row r="259">
      <c r="A259" s="29">
        <v>45479.0</v>
      </c>
      <c r="D259" s="64"/>
      <c r="E259" s="11"/>
      <c r="O259" s="52"/>
      <c r="P259" s="52"/>
    </row>
    <row r="260">
      <c r="A260" s="29">
        <v>45480.0</v>
      </c>
      <c r="D260" s="64"/>
      <c r="E260" s="11"/>
      <c r="O260" s="52"/>
      <c r="P260" s="52"/>
    </row>
    <row r="261">
      <c r="A261" s="29">
        <v>45481.0</v>
      </c>
      <c r="D261" s="64"/>
      <c r="E261" s="11"/>
      <c r="O261" s="52"/>
      <c r="P261" s="52"/>
    </row>
    <row r="262">
      <c r="A262" s="29">
        <v>45482.0</v>
      </c>
      <c r="D262" s="64"/>
      <c r="E262" s="11"/>
      <c r="O262" s="52"/>
      <c r="P262" s="52"/>
    </row>
    <row r="263">
      <c r="A263" s="29">
        <v>45483.0</v>
      </c>
      <c r="D263" s="64"/>
      <c r="E263" s="11"/>
      <c r="O263" s="52"/>
      <c r="P263" s="52"/>
    </row>
    <row r="264">
      <c r="A264" s="29">
        <v>45484.0</v>
      </c>
      <c r="D264" s="64"/>
      <c r="E264" s="11"/>
      <c r="O264" s="52"/>
      <c r="P264" s="52"/>
    </row>
    <row r="265">
      <c r="A265" s="29">
        <v>45486.0</v>
      </c>
      <c r="D265" s="64"/>
      <c r="E265" s="11"/>
      <c r="O265" s="52"/>
      <c r="P265" s="52"/>
    </row>
    <row r="266">
      <c r="A266" s="29">
        <v>45487.0</v>
      </c>
      <c r="D266" s="64"/>
      <c r="E266" s="11"/>
      <c r="O266" s="52"/>
      <c r="P266" s="52"/>
    </row>
    <row r="267">
      <c r="A267" s="29">
        <v>45488.0</v>
      </c>
      <c r="D267" s="64"/>
      <c r="E267" s="11"/>
      <c r="O267" s="52"/>
      <c r="P267" s="52"/>
    </row>
    <row r="268">
      <c r="A268" s="29">
        <v>45489.0</v>
      </c>
      <c r="D268" s="64"/>
      <c r="E268" s="11"/>
      <c r="O268" s="52"/>
      <c r="P268" s="52"/>
    </row>
    <row r="269">
      <c r="A269" s="29">
        <v>45490.0</v>
      </c>
      <c r="D269" s="64"/>
      <c r="E269" s="11"/>
      <c r="O269" s="52"/>
      <c r="P269" s="52"/>
    </row>
    <row r="270">
      <c r="A270" s="29">
        <v>45491.0</v>
      </c>
      <c r="D270" s="64"/>
      <c r="E270" s="11"/>
      <c r="O270" s="52"/>
      <c r="P270" s="52"/>
    </row>
    <row r="271">
      <c r="A271" s="29">
        <v>45492.0</v>
      </c>
      <c r="D271" s="64"/>
      <c r="E271" s="11"/>
      <c r="O271" s="52"/>
      <c r="P271" s="52"/>
    </row>
    <row r="272">
      <c r="A272" s="29">
        <v>45493.0</v>
      </c>
      <c r="D272" s="64"/>
      <c r="E272" s="11"/>
      <c r="O272" s="52"/>
      <c r="P272" s="52"/>
    </row>
    <row r="273">
      <c r="A273" s="29">
        <v>45494.0</v>
      </c>
      <c r="D273" s="64"/>
      <c r="E273" s="11"/>
      <c r="O273" s="52"/>
      <c r="P273" s="52"/>
    </row>
    <row r="274">
      <c r="A274" s="29">
        <v>45495.0</v>
      </c>
      <c r="D274" s="64"/>
      <c r="E274" s="11"/>
      <c r="O274" s="52"/>
      <c r="P274" s="52"/>
    </row>
    <row r="275">
      <c r="A275" s="29">
        <v>45497.0</v>
      </c>
      <c r="D275" s="64"/>
      <c r="E275" s="11"/>
      <c r="O275" s="52"/>
      <c r="P275" s="52"/>
    </row>
    <row r="276">
      <c r="A276" s="29">
        <v>45498.0</v>
      </c>
      <c r="D276" s="64"/>
      <c r="E276" s="11"/>
      <c r="O276" s="52"/>
      <c r="P276" s="52"/>
    </row>
    <row r="277">
      <c r="A277" s="29">
        <v>45499.0</v>
      </c>
      <c r="D277" s="64"/>
      <c r="E277" s="11"/>
      <c r="O277" s="52"/>
      <c r="P277" s="52"/>
    </row>
    <row r="278">
      <c r="A278" s="29">
        <v>45500.0</v>
      </c>
      <c r="D278" s="64"/>
      <c r="E278" s="11"/>
      <c r="O278" s="52"/>
      <c r="P278" s="52"/>
    </row>
    <row r="279">
      <c r="A279" s="29">
        <v>45501.0</v>
      </c>
      <c r="D279" s="64"/>
      <c r="E279" s="11"/>
      <c r="O279" s="52"/>
      <c r="P279" s="52"/>
    </row>
    <row r="280">
      <c r="A280" s="29">
        <v>45502.0</v>
      </c>
      <c r="D280" s="64"/>
      <c r="E280" s="11"/>
      <c r="O280" s="52"/>
      <c r="P280" s="52"/>
    </row>
    <row r="281">
      <c r="A281" s="29">
        <v>45503.0</v>
      </c>
      <c r="D281" s="64"/>
      <c r="E281" s="11"/>
      <c r="O281" s="52"/>
      <c r="P281" s="52"/>
    </row>
    <row r="282">
      <c r="A282" s="29">
        <v>45504.0</v>
      </c>
      <c r="D282" s="64"/>
      <c r="E282" s="11"/>
      <c r="O282" s="52"/>
      <c r="P282" s="52"/>
    </row>
    <row r="283">
      <c r="A283" s="29">
        <v>45505.0</v>
      </c>
      <c r="D283" s="64"/>
      <c r="E283" s="11"/>
      <c r="O283" s="52"/>
      <c r="P283" s="52"/>
    </row>
    <row r="284">
      <c r="A284" s="29">
        <v>45506.0</v>
      </c>
      <c r="D284" s="64"/>
      <c r="E284" s="11"/>
      <c r="O284" s="52"/>
      <c r="P284" s="52"/>
    </row>
    <row r="285">
      <c r="A285" s="29">
        <v>45507.0</v>
      </c>
      <c r="D285" s="64"/>
      <c r="E285" s="11"/>
      <c r="O285" s="52"/>
      <c r="P285" s="52"/>
    </row>
    <row r="286">
      <c r="A286" s="29">
        <v>45508.0</v>
      </c>
      <c r="D286" s="64"/>
      <c r="E286" s="11"/>
      <c r="O286" s="52"/>
      <c r="P286" s="52"/>
    </row>
    <row r="287">
      <c r="A287" s="29">
        <v>45509.0</v>
      </c>
      <c r="D287" s="64"/>
      <c r="E287" s="11"/>
      <c r="O287" s="52"/>
      <c r="P287" s="52"/>
    </row>
    <row r="288">
      <c r="A288" s="29">
        <v>45510.0</v>
      </c>
      <c r="D288" s="64"/>
      <c r="E288" s="11"/>
      <c r="O288" s="52"/>
      <c r="P288" s="52"/>
    </row>
    <row r="289">
      <c r="A289" s="29">
        <v>45511.0</v>
      </c>
      <c r="D289" s="64"/>
      <c r="E289" s="11"/>
      <c r="O289" s="52"/>
      <c r="P289" s="52"/>
    </row>
    <row r="290">
      <c r="A290" s="29">
        <v>45513.0</v>
      </c>
      <c r="D290" s="64"/>
      <c r="E290" s="11"/>
      <c r="O290" s="52"/>
      <c r="P290" s="52"/>
    </row>
    <row r="291">
      <c r="A291" s="29">
        <v>45514.0</v>
      </c>
      <c r="D291" s="64"/>
      <c r="E291" s="11"/>
      <c r="O291" s="52"/>
      <c r="P291" s="52"/>
    </row>
    <row r="292">
      <c r="A292" s="29">
        <v>45515.0</v>
      </c>
      <c r="D292" s="64"/>
      <c r="E292" s="11"/>
      <c r="O292" s="52"/>
      <c r="P292" s="52"/>
    </row>
    <row r="293">
      <c r="A293" s="29">
        <v>45516.0</v>
      </c>
      <c r="D293" s="64"/>
      <c r="E293" s="11"/>
      <c r="O293" s="52"/>
      <c r="P293" s="52"/>
    </row>
    <row r="294">
      <c r="A294" s="29">
        <v>45517.0</v>
      </c>
      <c r="D294" s="64"/>
      <c r="E294" s="11"/>
      <c r="O294" s="52"/>
      <c r="P294" s="52"/>
    </row>
    <row r="295">
      <c r="A295" s="29">
        <v>45518.0</v>
      </c>
      <c r="D295" s="64"/>
      <c r="E295" s="11"/>
      <c r="O295" s="52"/>
      <c r="P295" s="52"/>
    </row>
    <row r="296">
      <c r="A296" s="29">
        <v>45520.0</v>
      </c>
      <c r="D296" s="64"/>
      <c r="E296" s="11"/>
      <c r="O296" s="52"/>
      <c r="P296" s="52"/>
    </row>
    <row r="297">
      <c r="A297" s="29">
        <v>45521.0</v>
      </c>
      <c r="D297" s="64"/>
      <c r="E297" s="11"/>
      <c r="O297" s="52"/>
      <c r="P297" s="52"/>
    </row>
    <row r="298">
      <c r="A298" s="29">
        <v>45522.0</v>
      </c>
      <c r="D298" s="64"/>
      <c r="E298" s="11"/>
      <c r="O298" s="52"/>
      <c r="P298" s="52"/>
    </row>
    <row r="299">
      <c r="A299" s="29">
        <v>45523.0</v>
      </c>
      <c r="D299" s="64"/>
      <c r="E299" s="11"/>
      <c r="O299" s="52"/>
      <c r="P299" s="52"/>
    </row>
    <row r="300">
      <c r="A300" s="29">
        <v>45524.0</v>
      </c>
      <c r="D300" s="64"/>
      <c r="E300" s="11"/>
      <c r="O300" s="52"/>
      <c r="P300" s="52"/>
    </row>
    <row r="301">
      <c r="A301" s="29">
        <v>45525.0</v>
      </c>
      <c r="D301" s="64"/>
      <c r="E301" s="11"/>
      <c r="O301" s="52"/>
      <c r="P301" s="52"/>
    </row>
    <row r="302">
      <c r="A302" s="29">
        <v>45526.0</v>
      </c>
      <c r="D302" s="64"/>
      <c r="E302" s="11"/>
      <c r="O302" s="52"/>
      <c r="P302" s="52"/>
    </row>
    <row r="303">
      <c r="A303" s="51">
        <v>45527.0</v>
      </c>
      <c r="D303" s="64"/>
      <c r="E303" s="11"/>
      <c r="O303" s="52"/>
      <c r="P303" s="52"/>
    </row>
    <row r="304">
      <c r="A304" s="29">
        <v>45528.0</v>
      </c>
      <c r="D304" s="64"/>
      <c r="E304" s="11"/>
      <c r="O304" s="52"/>
      <c r="P304" s="52"/>
    </row>
    <row r="305">
      <c r="A305" s="29">
        <v>45529.0</v>
      </c>
      <c r="D305" s="64"/>
      <c r="E305" s="11"/>
      <c r="O305" s="52"/>
      <c r="P305" s="52"/>
    </row>
    <row r="306">
      <c r="A306" s="29">
        <v>45530.0</v>
      </c>
      <c r="D306" s="64"/>
      <c r="E306" s="11"/>
      <c r="O306" s="52"/>
      <c r="P306" s="52"/>
    </row>
    <row r="307">
      <c r="A307" s="29">
        <v>45531.0</v>
      </c>
      <c r="D307" s="64"/>
      <c r="E307" s="11"/>
      <c r="O307" s="52"/>
      <c r="P307" s="52"/>
    </row>
    <row r="308">
      <c r="A308" s="29">
        <v>45532.0</v>
      </c>
      <c r="D308" s="64"/>
      <c r="E308" s="11"/>
      <c r="O308" s="52"/>
      <c r="P308" s="52"/>
    </row>
    <row r="309">
      <c r="A309" s="29">
        <v>45534.0</v>
      </c>
      <c r="D309" s="64"/>
      <c r="E309" s="11"/>
      <c r="O309" s="52"/>
      <c r="P309" s="52"/>
    </row>
    <row r="310">
      <c r="A310" s="29">
        <v>45535.0</v>
      </c>
      <c r="D310" s="64"/>
      <c r="E310" s="11"/>
      <c r="O310" s="52"/>
      <c r="P310" s="52"/>
    </row>
    <row r="311">
      <c r="A311" s="29">
        <v>45536.0</v>
      </c>
      <c r="D311" s="64"/>
      <c r="E311" s="11"/>
      <c r="O311" s="52"/>
      <c r="P311" s="52"/>
    </row>
    <row r="312">
      <c r="A312" s="29">
        <v>45537.0</v>
      </c>
      <c r="D312" s="64"/>
      <c r="E312" s="11"/>
      <c r="O312" s="52"/>
      <c r="P312" s="52"/>
    </row>
    <row r="313">
      <c r="A313" s="29">
        <v>45538.0</v>
      </c>
      <c r="D313" s="64"/>
      <c r="E313" s="11"/>
      <c r="O313" s="52"/>
      <c r="P313" s="52"/>
    </row>
    <row r="314">
      <c r="A314" s="29">
        <v>45539.0</v>
      </c>
      <c r="D314" s="64"/>
      <c r="E314" s="11"/>
      <c r="O314" s="52"/>
      <c r="P314" s="52"/>
    </row>
    <row r="315">
      <c r="A315" s="29">
        <v>45540.0</v>
      </c>
      <c r="D315" s="64"/>
      <c r="E315" s="11"/>
      <c r="O315" s="52"/>
      <c r="P315" s="52"/>
    </row>
    <row r="316">
      <c r="A316" s="29">
        <v>45541.0</v>
      </c>
      <c r="D316" s="64"/>
      <c r="E316" s="11"/>
      <c r="O316" s="52"/>
      <c r="P316" s="52"/>
    </row>
    <row r="317">
      <c r="A317" s="29">
        <v>45542.0</v>
      </c>
      <c r="D317" s="64"/>
      <c r="E317" s="11"/>
      <c r="O317" s="52"/>
      <c r="P317" s="52"/>
    </row>
    <row r="318">
      <c r="A318" s="29">
        <v>45543.0</v>
      </c>
      <c r="D318" s="64"/>
      <c r="E318" s="11"/>
      <c r="O318" s="52"/>
      <c r="P318" s="52"/>
    </row>
    <row r="319">
      <c r="A319" s="29">
        <v>45544.0</v>
      </c>
      <c r="D319" s="64"/>
      <c r="E319" s="11"/>
      <c r="O319" s="52"/>
      <c r="P319" s="52"/>
    </row>
    <row r="320">
      <c r="A320" s="29">
        <v>45545.0</v>
      </c>
      <c r="D320" s="64"/>
      <c r="E320" s="11"/>
      <c r="O320" s="52"/>
      <c r="P320" s="52"/>
    </row>
    <row r="321">
      <c r="A321" s="29">
        <v>45546.0</v>
      </c>
      <c r="D321" s="64"/>
      <c r="E321" s="11"/>
      <c r="O321" s="52"/>
      <c r="P321" s="52"/>
    </row>
    <row r="322">
      <c r="A322" s="29">
        <v>45547.0</v>
      </c>
      <c r="D322" s="64"/>
      <c r="E322" s="11"/>
      <c r="O322" s="52"/>
      <c r="P322" s="52"/>
    </row>
    <row r="323">
      <c r="A323" s="29">
        <v>45548.0</v>
      </c>
      <c r="D323" s="64"/>
      <c r="E323" s="11"/>
      <c r="O323" s="52"/>
      <c r="P323" s="52"/>
    </row>
    <row r="324">
      <c r="A324" s="29">
        <v>45549.0</v>
      </c>
      <c r="D324" s="64"/>
      <c r="E324" s="11"/>
      <c r="O324" s="52"/>
      <c r="P324" s="52"/>
    </row>
    <row r="325">
      <c r="A325" s="29">
        <v>45550.0</v>
      </c>
      <c r="D325" s="64"/>
      <c r="E325" s="11"/>
      <c r="O325" s="52"/>
      <c r="P325" s="52"/>
    </row>
    <row r="326">
      <c r="A326" s="29">
        <v>45551.0</v>
      </c>
      <c r="D326" s="64"/>
      <c r="E326" s="11"/>
      <c r="O326" s="52"/>
      <c r="P326" s="52"/>
    </row>
    <row r="327">
      <c r="A327" s="29">
        <v>45552.0</v>
      </c>
      <c r="D327" s="64"/>
      <c r="E327" s="11"/>
      <c r="O327" s="52"/>
      <c r="P327" s="52"/>
    </row>
    <row r="328">
      <c r="A328" s="29">
        <v>45553.0</v>
      </c>
      <c r="D328" s="64"/>
      <c r="E328" s="11"/>
      <c r="O328" s="52"/>
      <c r="P328" s="52"/>
    </row>
    <row r="329">
      <c r="A329" s="29">
        <v>45554.0</v>
      </c>
      <c r="D329" s="64"/>
      <c r="E329" s="11"/>
      <c r="O329" s="52"/>
      <c r="P329" s="52"/>
    </row>
    <row r="330">
      <c r="A330" s="29">
        <v>45555.0</v>
      </c>
      <c r="D330" s="64"/>
      <c r="E330" s="11"/>
      <c r="O330" s="52"/>
      <c r="P330" s="52"/>
    </row>
    <row r="331">
      <c r="A331" s="29">
        <v>45556.0</v>
      </c>
      <c r="D331" s="64"/>
      <c r="E331" s="11"/>
      <c r="O331" s="52"/>
      <c r="P331" s="52"/>
    </row>
    <row r="332">
      <c r="A332" s="29">
        <v>45557.0</v>
      </c>
      <c r="D332" s="64"/>
      <c r="E332" s="11"/>
      <c r="O332" s="52"/>
      <c r="P332" s="52"/>
    </row>
    <row r="333">
      <c r="A333" s="29">
        <v>45558.0</v>
      </c>
      <c r="D333" s="64"/>
      <c r="E333" s="11"/>
      <c r="O333" s="52"/>
      <c r="P333" s="52"/>
    </row>
    <row r="334">
      <c r="A334" s="29">
        <v>45559.0</v>
      </c>
      <c r="D334" s="64"/>
      <c r="E334" s="11"/>
      <c r="O334" s="52"/>
      <c r="P334" s="52"/>
    </row>
    <row r="335">
      <c r="A335" s="29">
        <v>45560.0</v>
      </c>
      <c r="D335" s="64"/>
      <c r="E335" s="11"/>
      <c r="O335" s="52"/>
      <c r="P335" s="52"/>
    </row>
    <row r="336">
      <c r="A336" s="29">
        <v>45561.0</v>
      </c>
      <c r="D336" s="64"/>
      <c r="E336" s="11"/>
      <c r="O336" s="52"/>
      <c r="P336" s="52"/>
    </row>
    <row r="337">
      <c r="A337" s="29">
        <v>45562.0</v>
      </c>
      <c r="D337" s="64"/>
      <c r="E337" s="11"/>
      <c r="O337" s="52"/>
      <c r="P337" s="52"/>
    </row>
    <row r="338">
      <c r="A338" s="29">
        <v>45563.0</v>
      </c>
      <c r="D338" s="64"/>
      <c r="E338" s="11"/>
      <c r="O338" s="52"/>
      <c r="P338" s="52"/>
    </row>
    <row r="339">
      <c r="A339" s="29">
        <v>45564.0</v>
      </c>
      <c r="D339" s="64"/>
      <c r="E339" s="11"/>
      <c r="O339" s="52"/>
      <c r="P339" s="52"/>
    </row>
    <row r="340">
      <c r="A340" s="29">
        <v>45565.0</v>
      </c>
      <c r="D340" s="64"/>
      <c r="E340" s="11"/>
      <c r="O340" s="52"/>
      <c r="P340" s="52"/>
    </row>
    <row r="341">
      <c r="A341" s="29">
        <v>45566.0</v>
      </c>
      <c r="D341" s="64"/>
      <c r="E341" s="11"/>
      <c r="O341" s="52"/>
      <c r="P341" s="52"/>
    </row>
    <row r="342">
      <c r="D342" s="64"/>
      <c r="E342" s="11"/>
      <c r="O342" s="52"/>
      <c r="P342" s="52"/>
    </row>
    <row r="343">
      <c r="D343" s="64"/>
      <c r="E343" s="11"/>
      <c r="O343" s="52"/>
      <c r="P343" s="52"/>
    </row>
    <row r="344">
      <c r="D344" s="64"/>
      <c r="E344" s="11"/>
      <c r="O344" s="52"/>
      <c r="P344" s="52"/>
    </row>
    <row r="345">
      <c r="D345" s="64"/>
      <c r="E345" s="11"/>
      <c r="O345" s="52"/>
      <c r="P345" s="52"/>
    </row>
    <row r="346">
      <c r="D346" s="64"/>
      <c r="E346" s="11"/>
      <c r="O346" s="52"/>
      <c r="P346" s="52"/>
    </row>
    <row r="347">
      <c r="D347" s="64"/>
      <c r="E347" s="11"/>
      <c r="O347" s="52"/>
      <c r="P347" s="52"/>
    </row>
    <row r="348">
      <c r="D348" s="64"/>
      <c r="E348" s="11"/>
      <c r="O348" s="52"/>
      <c r="P348" s="52"/>
    </row>
    <row r="349">
      <c r="D349" s="64"/>
      <c r="E349" s="11"/>
      <c r="O349" s="52"/>
      <c r="P349" s="52"/>
    </row>
    <row r="350">
      <c r="D350" s="64"/>
      <c r="E350" s="11"/>
      <c r="O350" s="52"/>
      <c r="P350" s="52"/>
    </row>
    <row r="351">
      <c r="D351" s="64"/>
      <c r="E351" s="11"/>
      <c r="O351" s="52"/>
      <c r="P351" s="52"/>
    </row>
    <row r="352">
      <c r="D352" s="64"/>
      <c r="E352" s="11"/>
      <c r="O352" s="52"/>
      <c r="P352" s="52"/>
    </row>
    <row r="353">
      <c r="D353" s="64"/>
      <c r="E353" s="11"/>
      <c r="O353" s="52"/>
      <c r="P353" s="52"/>
    </row>
    <row r="354">
      <c r="D354" s="64"/>
      <c r="E354" s="11"/>
      <c r="O354" s="52"/>
      <c r="P354" s="52"/>
    </row>
    <row r="355">
      <c r="D355" s="64"/>
      <c r="E355" s="11"/>
      <c r="O355" s="52"/>
      <c r="P355" s="52"/>
    </row>
    <row r="356">
      <c r="D356" s="64"/>
      <c r="E356" s="11"/>
      <c r="O356" s="52"/>
      <c r="P356" s="52"/>
    </row>
    <row r="357">
      <c r="D357" s="64"/>
      <c r="E357" s="11"/>
      <c r="O357" s="52"/>
      <c r="P357" s="52"/>
    </row>
    <row r="358">
      <c r="D358" s="64"/>
      <c r="E358" s="11"/>
      <c r="O358" s="52"/>
      <c r="P358" s="52"/>
    </row>
    <row r="359">
      <c r="D359" s="64"/>
      <c r="E359" s="11"/>
      <c r="O359" s="52"/>
      <c r="P359" s="52"/>
    </row>
    <row r="360">
      <c r="D360" s="64"/>
      <c r="E360" s="11"/>
      <c r="O360" s="52"/>
      <c r="P360" s="52"/>
    </row>
    <row r="361">
      <c r="D361" s="64"/>
      <c r="E361" s="11"/>
      <c r="O361" s="52"/>
      <c r="P361" s="52"/>
    </row>
    <row r="362">
      <c r="D362" s="64"/>
      <c r="E362" s="11"/>
      <c r="O362" s="52"/>
      <c r="P362" s="52"/>
    </row>
    <row r="363">
      <c r="D363" s="64"/>
      <c r="E363" s="11"/>
      <c r="O363" s="52"/>
      <c r="P363" s="52"/>
    </row>
    <row r="364">
      <c r="D364" s="64"/>
      <c r="E364" s="11"/>
      <c r="O364" s="52"/>
      <c r="P364" s="52"/>
    </row>
    <row r="365">
      <c r="D365" s="64"/>
      <c r="E365" s="11"/>
      <c r="O365" s="52"/>
      <c r="P365" s="52"/>
    </row>
    <row r="366">
      <c r="D366" s="64"/>
      <c r="E366" s="11"/>
      <c r="O366" s="52"/>
      <c r="P366" s="52"/>
    </row>
    <row r="367">
      <c r="D367" s="64"/>
      <c r="E367" s="11"/>
      <c r="O367" s="52"/>
      <c r="P367" s="52"/>
    </row>
    <row r="368">
      <c r="D368" s="64"/>
      <c r="E368" s="11"/>
      <c r="O368" s="52"/>
      <c r="P368" s="52"/>
    </row>
    <row r="369">
      <c r="D369" s="64"/>
      <c r="E369" s="11"/>
      <c r="O369" s="52"/>
      <c r="P369" s="52"/>
    </row>
    <row r="370">
      <c r="D370" s="64"/>
      <c r="E370" s="11"/>
      <c r="O370" s="52"/>
      <c r="P370" s="52"/>
    </row>
    <row r="371">
      <c r="D371" s="64"/>
      <c r="E371" s="11"/>
      <c r="O371" s="52"/>
      <c r="P371" s="52"/>
    </row>
    <row r="372">
      <c r="D372" s="64"/>
      <c r="E372" s="11"/>
      <c r="O372" s="52"/>
      <c r="P372" s="52"/>
    </row>
    <row r="373">
      <c r="D373" s="64"/>
      <c r="E373" s="11"/>
      <c r="O373" s="52"/>
      <c r="P373" s="52"/>
    </row>
    <row r="374">
      <c r="D374" s="64"/>
      <c r="E374" s="11"/>
      <c r="O374" s="52"/>
      <c r="P374" s="52"/>
    </row>
    <row r="375">
      <c r="D375" s="64"/>
      <c r="E375" s="11"/>
      <c r="O375" s="52"/>
      <c r="P375" s="52"/>
    </row>
    <row r="376">
      <c r="D376" s="64"/>
      <c r="E376" s="11"/>
      <c r="O376" s="52"/>
      <c r="P376" s="52"/>
    </row>
    <row r="377">
      <c r="D377" s="64"/>
      <c r="E377" s="11"/>
      <c r="O377" s="52"/>
      <c r="P377" s="52"/>
    </row>
    <row r="378">
      <c r="D378" s="64"/>
      <c r="E378" s="11"/>
      <c r="O378" s="52"/>
      <c r="P378" s="52"/>
    </row>
    <row r="379">
      <c r="D379" s="64"/>
      <c r="E379" s="11"/>
      <c r="O379" s="52"/>
      <c r="P379" s="52"/>
    </row>
    <row r="380">
      <c r="D380" s="64"/>
      <c r="E380" s="11"/>
      <c r="O380" s="52"/>
      <c r="P380" s="52"/>
    </row>
    <row r="381">
      <c r="D381" s="64"/>
      <c r="E381" s="11"/>
      <c r="O381" s="52"/>
      <c r="P381" s="52"/>
    </row>
    <row r="382">
      <c r="D382" s="64"/>
      <c r="E382" s="11"/>
      <c r="O382" s="52"/>
      <c r="P382" s="52"/>
    </row>
    <row r="383">
      <c r="D383" s="64"/>
      <c r="E383" s="11"/>
      <c r="O383" s="52"/>
      <c r="P383" s="52"/>
    </row>
    <row r="384">
      <c r="D384" s="64"/>
      <c r="E384" s="11"/>
      <c r="O384" s="52"/>
      <c r="P384" s="52"/>
    </row>
    <row r="385">
      <c r="D385" s="64"/>
      <c r="E385" s="11"/>
      <c r="O385" s="52"/>
      <c r="P385" s="52"/>
    </row>
    <row r="386">
      <c r="D386" s="64"/>
      <c r="E386" s="11"/>
      <c r="O386" s="52"/>
      <c r="P386" s="52"/>
    </row>
    <row r="387">
      <c r="D387" s="64"/>
      <c r="E387" s="11"/>
      <c r="O387" s="52"/>
      <c r="P387" s="52"/>
    </row>
    <row r="388">
      <c r="D388" s="64"/>
      <c r="E388" s="11"/>
      <c r="O388" s="52"/>
      <c r="P388" s="52"/>
    </row>
    <row r="389">
      <c r="D389" s="64"/>
      <c r="E389" s="11"/>
      <c r="O389" s="52"/>
      <c r="P389" s="52"/>
    </row>
    <row r="390">
      <c r="D390" s="64"/>
      <c r="E390" s="11"/>
      <c r="O390" s="52"/>
      <c r="P390" s="52"/>
    </row>
    <row r="391">
      <c r="D391" s="64"/>
      <c r="E391" s="11"/>
      <c r="O391" s="52"/>
      <c r="P391" s="52"/>
    </row>
    <row r="392">
      <c r="D392" s="64"/>
      <c r="E392" s="11"/>
      <c r="O392" s="52"/>
      <c r="P392" s="52"/>
    </row>
    <row r="393">
      <c r="D393" s="64"/>
      <c r="E393" s="11"/>
      <c r="O393" s="52"/>
      <c r="P393" s="52"/>
    </row>
    <row r="394">
      <c r="D394" s="64"/>
      <c r="E394" s="11"/>
      <c r="O394" s="52"/>
      <c r="P394" s="52"/>
    </row>
    <row r="395">
      <c r="D395" s="64"/>
      <c r="E395" s="11"/>
      <c r="O395" s="52"/>
      <c r="P395" s="52"/>
    </row>
    <row r="396">
      <c r="D396" s="64"/>
      <c r="E396" s="11"/>
      <c r="O396" s="52"/>
      <c r="P396" s="52"/>
    </row>
    <row r="397">
      <c r="D397" s="64"/>
      <c r="E397" s="11"/>
      <c r="O397" s="52"/>
      <c r="P397" s="52"/>
    </row>
    <row r="398">
      <c r="D398" s="64"/>
      <c r="E398" s="11"/>
      <c r="O398" s="52"/>
      <c r="P398" s="52"/>
    </row>
    <row r="399">
      <c r="D399" s="64"/>
      <c r="E399" s="11"/>
      <c r="O399" s="52"/>
      <c r="P399" s="52"/>
    </row>
    <row r="400">
      <c r="D400" s="64"/>
      <c r="E400" s="11"/>
      <c r="O400" s="52"/>
      <c r="P400" s="52"/>
    </row>
    <row r="401">
      <c r="D401" s="64"/>
      <c r="E401" s="11"/>
      <c r="O401" s="52"/>
      <c r="P401" s="52"/>
    </row>
    <row r="402">
      <c r="D402" s="64"/>
      <c r="E402" s="11"/>
      <c r="O402" s="52"/>
      <c r="P402" s="52"/>
    </row>
    <row r="403">
      <c r="D403" s="64"/>
      <c r="E403" s="11"/>
      <c r="O403" s="52"/>
      <c r="P403" s="52"/>
    </row>
    <row r="404">
      <c r="D404" s="64"/>
      <c r="E404" s="11"/>
      <c r="O404" s="52"/>
      <c r="P404" s="52"/>
    </row>
    <row r="405">
      <c r="D405" s="64"/>
      <c r="E405" s="11"/>
      <c r="O405" s="52"/>
      <c r="P405" s="52"/>
    </row>
    <row r="406">
      <c r="D406" s="64"/>
      <c r="E406" s="11"/>
      <c r="O406" s="52"/>
      <c r="P406" s="52"/>
    </row>
    <row r="407">
      <c r="D407" s="64"/>
      <c r="E407" s="11"/>
      <c r="O407" s="52"/>
      <c r="P407" s="52"/>
    </row>
    <row r="408">
      <c r="D408" s="64"/>
      <c r="E408" s="11"/>
      <c r="O408" s="52"/>
      <c r="P408" s="52"/>
    </row>
    <row r="409">
      <c r="D409" s="64"/>
      <c r="E409" s="11"/>
      <c r="O409" s="52"/>
      <c r="P409" s="52"/>
    </row>
    <row r="410">
      <c r="D410" s="64"/>
      <c r="E410" s="11"/>
      <c r="O410" s="52"/>
      <c r="P410" s="52"/>
    </row>
    <row r="411">
      <c r="D411" s="64"/>
      <c r="E411" s="11"/>
      <c r="O411" s="52"/>
      <c r="P411" s="52"/>
    </row>
    <row r="412">
      <c r="D412" s="64"/>
      <c r="E412" s="11"/>
      <c r="O412" s="52"/>
      <c r="P412" s="52"/>
    </row>
    <row r="413">
      <c r="D413" s="64"/>
      <c r="E413" s="11"/>
      <c r="O413" s="52"/>
      <c r="P413" s="52"/>
    </row>
    <row r="414">
      <c r="D414" s="64"/>
      <c r="E414" s="11"/>
      <c r="O414" s="52"/>
      <c r="P414" s="52"/>
    </row>
    <row r="415">
      <c r="D415" s="64"/>
      <c r="E415" s="11"/>
      <c r="O415" s="52"/>
      <c r="P415" s="52"/>
    </row>
    <row r="416">
      <c r="D416" s="64"/>
      <c r="E416" s="11"/>
      <c r="O416" s="52"/>
      <c r="P416" s="52"/>
    </row>
    <row r="417">
      <c r="D417" s="64"/>
      <c r="E417" s="11"/>
      <c r="O417" s="52"/>
      <c r="P417" s="52"/>
    </row>
    <row r="418">
      <c r="D418" s="64"/>
      <c r="E418" s="11"/>
      <c r="O418" s="52"/>
      <c r="P418" s="52"/>
    </row>
    <row r="419">
      <c r="D419" s="64"/>
      <c r="E419" s="11"/>
      <c r="O419" s="52"/>
      <c r="P419" s="52"/>
    </row>
    <row r="420">
      <c r="D420" s="64"/>
      <c r="E420" s="11"/>
      <c r="O420" s="52"/>
      <c r="P420" s="52"/>
    </row>
    <row r="421">
      <c r="D421" s="64"/>
      <c r="E421" s="11"/>
      <c r="O421" s="52"/>
      <c r="P421" s="52"/>
    </row>
    <row r="422">
      <c r="D422" s="64"/>
      <c r="E422" s="11"/>
      <c r="O422" s="52"/>
      <c r="P422" s="52"/>
    </row>
    <row r="423">
      <c r="D423" s="64"/>
      <c r="E423" s="11"/>
      <c r="O423" s="52"/>
      <c r="P423" s="52"/>
    </row>
    <row r="424">
      <c r="D424" s="64"/>
      <c r="E424" s="11"/>
      <c r="O424" s="52"/>
      <c r="P424" s="52"/>
    </row>
    <row r="425">
      <c r="D425" s="64"/>
      <c r="E425" s="11"/>
      <c r="O425" s="52"/>
      <c r="P425" s="52"/>
    </row>
    <row r="426">
      <c r="D426" s="64"/>
      <c r="E426" s="11"/>
      <c r="O426" s="52"/>
      <c r="P426" s="52"/>
    </row>
    <row r="427">
      <c r="D427" s="64"/>
      <c r="E427" s="11"/>
      <c r="O427" s="52"/>
      <c r="P427" s="52"/>
    </row>
    <row r="428">
      <c r="D428" s="64"/>
      <c r="E428" s="11"/>
      <c r="O428" s="52"/>
      <c r="P428" s="52"/>
    </row>
    <row r="429">
      <c r="D429" s="64"/>
      <c r="E429" s="11"/>
      <c r="O429" s="52"/>
      <c r="P429" s="52"/>
    </row>
    <row r="430">
      <c r="D430" s="64"/>
      <c r="E430" s="11"/>
      <c r="O430" s="52"/>
      <c r="P430" s="52"/>
    </row>
    <row r="431">
      <c r="D431" s="64"/>
      <c r="E431" s="11"/>
      <c r="O431" s="52"/>
      <c r="P431" s="52"/>
    </row>
    <row r="432">
      <c r="D432" s="64"/>
      <c r="E432" s="11"/>
      <c r="O432" s="52"/>
      <c r="P432" s="52"/>
    </row>
    <row r="433">
      <c r="D433" s="64"/>
      <c r="E433" s="11"/>
      <c r="O433" s="52"/>
      <c r="P433" s="52"/>
    </row>
    <row r="434">
      <c r="D434" s="64"/>
      <c r="E434" s="11"/>
      <c r="O434" s="52"/>
      <c r="P434" s="52"/>
    </row>
    <row r="435">
      <c r="D435" s="64"/>
      <c r="E435" s="11"/>
      <c r="O435" s="52"/>
      <c r="P435" s="52"/>
    </row>
    <row r="436">
      <c r="D436" s="64"/>
      <c r="E436" s="11"/>
      <c r="O436" s="52"/>
      <c r="P436" s="52"/>
    </row>
    <row r="437">
      <c r="D437" s="64"/>
      <c r="E437" s="11"/>
      <c r="O437" s="52"/>
      <c r="P437" s="52"/>
    </row>
    <row r="438">
      <c r="D438" s="64"/>
      <c r="E438" s="11"/>
      <c r="O438" s="52"/>
      <c r="P438" s="52"/>
    </row>
    <row r="439">
      <c r="D439" s="64"/>
      <c r="E439" s="11"/>
      <c r="O439" s="52"/>
      <c r="P439" s="52"/>
    </row>
    <row r="440">
      <c r="D440" s="64"/>
      <c r="E440" s="11"/>
      <c r="O440" s="52"/>
      <c r="P440" s="52"/>
    </row>
    <row r="441">
      <c r="D441" s="64"/>
      <c r="E441" s="11"/>
      <c r="O441" s="52"/>
      <c r="P441" s="52"/>
    </row>
    <row r="442">
      <c r="D442" s="64"/>
      <c r="E442" s="11"/>
      <c r="O442" s="52"/>
      <c r="P442" s="52"/>
    </row>
    <row r="443">
      <c r="D443" s="64"/>
      <c r="E443" s="11"/>
      <c r="O443" s="52"/>
      <c r="P443" s="52"/>
    </row>
    <row r="444">
      <c r="D444" s="64"/>
      <c r="E444" s="11"/>
      <c r="O444" s="52"/>
      <c r="P444" s="52"/>
    </row>
    <row r="445">
      <c r="D445" s="64"/>
      <c r="E445" s="11"/>
      <c r="O445" s="52"/>
      <c r="P445" s="52"/>
    </row>
    <row r="446">
      <c r="D446" s="64"/>
      <c r="E446" s="11"/>
      <c r="O446" s="52"/>
      <c r="P446" s="52"/>
    </row>
    <row r="447">
      <c r="D447" s="64"/>
      <c r="E447" s="11"/>
      <c r="O447" s="52"/>
      <c r="P447" s="52"/>
    </row>
    <row r="448">
      <c r="D448" s="64"/>
      <c r="E448" s="11"/>
      <c r="O448" s="52"/>
      <c r="P448" s="52"/>
    </row>
    <row r="449">
      <c r="D449" s="64"/>
      <c r="E449" s="11"/>
      <c r="O449" s="52"/>
      <c r="P449" s="52"/>
    </row>
    <row r="450">
      <c r="D450" s="64"/>
      <c r="E450" s="11"/>
      <c r="O450" s="52"/>
      <c r="P450" s="52"/>
    </row>
    <row r="451">
      <c r="D451" s="64"/>
      <c r="E451" s="11"/>
      <c r="O451" s="52"/>
      <c r="P451" s="52"/>
    </row>
    <row r="452">
      <c r="D452" s="64"/>
      <c r="E452" s="11"/>
      <c r="O452" s="52"/>
      <c r="P452" s="52"/>
    </row>
    <row r="453">
      <c r="D453" s="64"/>
      <c r="E453" s="11"/>
      <c r="O453" s="52"/>
      <c r="P453" s="52"/>
    </row>
    <row r="454">
      <c r="D454" s="64"/>
      <c r="E454" s="11"/>
      <c r="O454" s="52"/>
      <c r="P454" s="52"/>
    </row>
    <row r="455">
      <c r="D455" s="64"/>
      <c r="E455" s="11"/>
      <c r="O455" s="52"/>
      <c r="P455" s="52"/>
    </row>
    <row r="456">
      <c r="D456" s="64"/>
      <c r="E456" s="11"/>
      <c r="O456" s="52"/>
      <c r="P456" s="52"/>
    </row>
    <row r="457">
      <c r="D457" s="64"/>
      <c r="E457" s="11"/>
      <c r="O457" s="52"/>
      <c r="P457" s="52"/>
    </row>
    <row r="458">
      <c r="D458" s="64"/>
      <c r="E458" s="11"/>
      <c r="O458" s="52"/>
      <c r="P458" s="52"/>
    </row>
    <row r="459">
      <c r="D459" s="64"/>
      <c r="E459" s="11"/>
      <c r="O459" s="52"/>
      <c r="P459" s="52"/>
    </row>
    <row r="460">
      <c r="D460" s="64"/>
      <c r="E460" s="11"/>
      <c r="O460" s="52"/>
      <c r="P460" s="52"/>
    </row>
    <row r="461">
      <c r="D461" s="64"/>
      <c r="E461" s="11"/>
      <c r="O461" s="52"/>
      <c r="P461" s="52"/>
    </row>
    <row r="462">
      <c r="D462" s="64"/>
      <c r="E462" s="11"/>
      <c r="O462" s="52"/>
      <c r="P462" s="52"/>
    </row>
    <row r="463">
      <c r="D463" s="64"/>
      <c r="E463" s="11"/>
      <c r="O463" s="52"/>
      <c r="P463" s="52"/>
    </row>
    <row r="464">
      <c r="D464" s="64"/>
      <c r="E464" s="11"/>
      <c r="O464" s="52"/>
      <c r="P464" s="52"/>
    </row>
    <row r="465">
      <c r="D465" s="64"/>
      <c r="E465" s="11"/>
      <c r="O465" s="52"/>
      <c r="P465" s="52"/>
    </row>
    <row r="466">
      <c r="D466" s="64"/>
      <c r="E466" s="11"/>
      <c r="O466" s="52"/>
      <c r="P466" s="52"/>
    </row>
    <row r="467">
      <c r="D467" s="64"/>
      <c r="E467" s="11"/>
      <c r="O467" s="52"/>
      <c r="P467" s="52"/>
    </row>
    <row r="468">
      <c r="D468" s="64"/>
      <c r="E468" s="11"/>
      <c r="O468" s="52"/>
      <c r="P468" s="52"/>
    </row>
    <row r="469">
      <c r="D469" s="64"/>
      <c r="E469" s="11"/>
      <c r="O469" s="52"/>
      <c r="P469" s="52"/>
    </row>
    <row r="470">
      <c r="D470" s="64"/>
      <c r="E470" s="11"/>
      <c r="O470" s="52"/>
      <c r="P470" s="52"/>
    </row>
    <row r="471">
      <c r="D471" s="64"/>
      <c r="E471" s="11"/>
      <c r="O471" s="52"/>
      <c r="P471" s="52"/>
    </row>
    <row r="472">
      <c r="D472" s="64"/>
      <c r="E472" s="11"/>
      <c r="O472" s="52"/>
      <c r="P472" s="52"/>
    </row>
    <row r="473">
      <c r="D473" s="64"/>
      <c r="E473" s="11"/>
      <c r="O473" s="52"/>
      <c r="P473" s="52"/>
    </row>
    <row r="474">
      <c r="D474" s="64"/>
      <c r="E474" s="11"/>
      <c r="O474" s="52"/>
      <c r="P474" s="52"/>
    </row>
    <row r="475">
      <c r="D475" s="64"/>
      <c r="E475" s="11"/>
      <c r="O475" s="52"/>
      <c r="P475" s="52"/>
    </row>
    <row r="476">
      <c r="D476" s="64"/>
      <c r="E476" s="11"/>
      <c r="O476" s="52"/>
      <c r="P476" s="52"/>
    </row>
    <row r="477">
      <c r="D477" s="64"/>
      <c r="E477" s="11"/>
      <c r="O477" s="52"/>
      <c r="P477" s="52"/>
    </row>
    <row r="478">
      <c r="D478" s="64"/>
      <c r="E478" s="11"/>
      <c r="O478" s="52"/>
      <c r="P478" s="52"/>
    </row>
    <row r="479">
      <c r="D479" s="64"/>
      <c r="E479" s="11"/>
      <c r="O479" s="52"/>
      <c r="P479" s="52"/>
    </row>
    <row r="480">
      <c r="D480" s="64"/>
      <c r="E480" s="11"/>
      <c r="O480" s="52"/>
      <c r="P480" s="52"/>
    </row>
    <row r="481">
      <c r="D481" s="64"/>
      <c r="E481" s="11"/>
      <c r="O481" s="52"/>
      <c r="P481" s="52"/>
    </row>
    <row r="482">
      <c r="D482" s="64"/>
      <c r="E482" s="11"/>
      <c r="O482" s="52"/>
      <c r="P482" s="52"/>
    </row>
    <row r="483">
      <c r="D483" s="64"/>
      <c r="E483" s="11"/>
      <c r="O483" s="52"/>
      <c r="P483" s="52"/>
    </row>
    <row r="484">
      <c r="D484" s="64"/>
      <c r="E484" s="11"/>
      <c r="O484" s="52"/>
      <c r="P484" s="52"/>
    </row>
    <row r="485">
      <c r="D485" s="64"/>
      <c r="E485" s="11"/>
      <c r="O485" s="52"/>
      <c r="P485" s="52"/>
    </row>
    <row r="486">
      <c r="D486" s="64"/>
      <c r="E486" s="11"/>
      <c r="O486" s="52"/>
      <c r="P486" s="52"/>
    </row>
    <row r="487">
      <c r="D487" s="64"/>
      <c r="E487" s="11"/>
      <c r="O487" s="52"/>
      <c r="P487" s="52"/>
    </row>
    <row r="488">
      <c r="D488" s="64"/>
      <c r="E488" s="11"/>
      <c r="O488" s="52"/>
      <c r="P488" s="52"/>
    </row>
    <row r="489">
      <c r="D489" s="64"/>
      <c r="E489" s="11"/>
      <c r="O489" s="52"/>
      <c r="P489" s="52"/>
    </row>
    <row r="490">
      <c r="D490" s="64"/>
      <c r="E490" s="11"/>
      <c r="O490" s="52"/>
      <c r="P490" s="52"/>
    </row>
    <row r="491">
      <c r="D491" s="64"/>
      <c r="E491" s="11"/>
      <c r="O491" s="52"/>
      <c r="P491" s="52"/>
    </row>
    <row r="492">
      <c r="D492" s="64"/>
      <c r="E492" s="11"/>
      <c r="O492" s="52"/>
      <c r="P492" s="52"/>
    </row>
    <row r="493">
      <c r="D493" s="64"/>
      <c r="E493" s="11"/>
      <c r="O493" s="52"/>
      <c r="P493" s="52"/>
    </row>
    <row r="494">
      <c r="D494" s="64"/>
      <c r="E494" s="11"/>
      <c r="O494" s="52"/>
      <c r="P494" s="52"/>
    </row>
    <row r="495">
      <c r="D495" s="64"/>
      <c r="E495" s="11"/>
      <c r="O495" s="52"/>
      <c r="P495" s="52"/>
    </row>
    <row r="496">
      <c r="D496" s="64"/>
      <c r="E496" s="11"/>
      <c r="O496" s="52"/>
      <c r="P496" s="52"/>
    </row>
    <row r="497">
      <c r="D497" s="64"/>
      <c r="E497" s="11"/>
      <c r="O497" s="52"/>
      <c r="P497" s="52"/>
    </row>
    <row r="498">
      <c r="D498" s="64"/>
      <c r="E498" s="11"/>
      <c r="O498" s="52"/>
      <c r="P498" s="52"/>
    </row>
    <row r="499">
      <c r="D499" s="64"/>
      <c r="E499" s="11"/>
      <c r="O499" s="52"/>
      <c r="P499" s="52"/>
    </row>
    <row r="500">
      <c r="D500" s="64"/>
      <c r="E500" s="11"/>
      <c r="O500" s="52"/>
      <c r="P500" s="52"/>
    </row>
    <row r="501">
      <c r="D501" s="64"/>
      <c r="E501" s="11"/>
      <c r="O501" s="52"/>
      <c r="P501" s="52"/>
    </row>
    <row r="502">
      <c r="D502" s="64"/>
      <c r="E502" s="11"/>
      <c r="O502" s="52"/>
      <c r="P502" s="52"/>
    </row>
    <row r="503">
      <c r="D503" s="64"/>
      <c r="E503" s="11"/>
      <c r="O503" s="52"/>
      <c r="P503" s="52"/>
    </row>
    <row r="504">
      <c r="D504" s="64"/>
      <c r="E504" s="11"/>
      <c r="O504" s="52"/>
      <c r="P504" s="52"/>
    </row>
    <row r="505">
      <c r="D505" s="64"/>
      <c r="E505" s="11"/>
      <c r="O505" s="52"/>
      <c r="P505" s="52"/>
    </row>
    <row r="506">
      <c r="D506" s="64"/>
      <c r="E506" s="11"/>
      <c r="O506" s="52"/>
      <c r="P506" s="52"/>
    </row>
    <row r="507">
      <c r="D507" s="64"/>
      <c r="E507" s="11"/>
      <c r="O507" s="52"/>
      <c r="P507" s="52"/>
    </row>
    <row r="508">
      <c r="D508" s="64"/>
      <c r="E508" s="11"/>
      <c r="O508" s="52"/>
      <c r="P508" s="52"/>
    </row>
    <row r="509">
      <c r="D509" s="64"/>
      <c r="E509" s="11"/>
      <c r="O509" s="52"/>
      <c r="P509" s="52"/>
    </row>
    <row r="510">
      <c r="D510" s="64"/>
      <c r="E510" s="11"/>
      <c r="O510" s="52"/>
      <c r="P510" s="52"/>
    </row>
    <row r="511">
      <c r="D511" s="64"/>
      <c r="E511" s="11"/>
      <c r="O511" s="52"/>
      <c r="P511" s="52"/>
    </row>
    <row r="512">
      <c r="D512" s="64"/>
      <c r="E512" s="11"/>
      <c r="O512" s="52"/>
      <c r="P512" s="52"/>
    </row>
    <row r="513">
      <c r="D513" s="64"/>
      <c r="E513" s="11"/>
      <c r="O513" s="52"/>
      <c r="P513" s="52"/>
    </row>
    <row r="514">
      <c r="D514" s="64"/>
      <c r="E514" s="11"/>
      <c r="O514" s="52"/>
      <c r="P514" s="52"/>
    </row>
    <row r="515">
      <c r="D515" s="64"/>
      <c r="E515" s="11"/>
      <c r="O515" s="52"/>
      <c r="P515" s="52"/>
    </row>
    <row r="516">
      <c r="D516" s="64"/>
      <c r="E516" s="11"/>
      <c r="O516" s="52"/>
      <c r="P516" s="52"/>
    </row>
    <row r="517">
      <c r="D517" s="64"/>
      <c r="E517" s="11"/>
      <c r="O517" s="52"/>
      <c r="P517" s="52"/>
    </row>
    <row r="518">
      <c r="D518" s="64"/>
      <c r="E518" s="11"/>
      <c r="O518" s="52"/>
      <c r="P518" s="52"/>
    </row>
    <row r="519">
      <c r="D519" s="64"/>
      <c r="E519" s="11"/>
      <c r="O519" s="52"/>
      <c r="P519" s="52"/>
    </row>
    <row r="520">
      <c r="D520" s="64"/>
      <c r="E520" s="11"/>
      <c r="O520" s="52"/>
      <c r="P520" s="52"/>
    </row>
    <row r="521">
      <c r="D521" s="64"/>
      <c r="E521" s="11"/>
      <c r="O521" s="52"/>
      <c r="P521" s="52"/>
    </row>
    <row r="522">
      <c r="D522" s="64"/>
      <c r="E522" s="11"/>
      <c r="O522" s="52"/>
      <c r="P522" s="52"/>
    </row>
    <row r="523">
      <c r="D523" s="64"/>
      <c r="E523" s="11"/>
      <c r="O523" s="52"/>
      <c r="P523" s="52"/>
    </row>
    <row r="524">
      <c r="D524" s="64"/>
      <c r="E524" s="11"/>
      <c r="O524" s="52"/>
      <c r="P524" s="52"/>
    </row>
    <row r="525">
      <c r="D525" s="64"/>
      <c r="E525" s="11"/>
      <c r="O525" s="52"/>
      <c r="P525" s="52"/>
    </row>
    <row r="526">
      <c r="D526" s="64"/>
      <c r="E526" s="11"/>
      <c r="O526" s="52"/>
      <c r="P526" s="52"/>
    </row>
    <row r="527">
      <c r="D527" s="64"/>
      <c r="E527" s="11"/>
      <c r="O527" s="52"/>
      <c r="P527" s="52"/>
    </row>
    <row r="528">
      <c r="D528" s="64"/>
      <c r="E528" s="11"/>
      <c r="O528" s="52"/>
      <c r="P528" s="52"/>
    </row>
    <row r="529">
      <c r="D529" s="64"/>
      <c r="E529" s="11"/>
      <c r="O529" s="52"/>
      <c r="P529" s="52"/>
    </row>
    <row r="530">
      <c r="D530" s="64"/>
      <c r="E530" s="11"/>
      <c r="O530" s="52"/>
      <c r="P530" s="52"/>
    </row>
    <row r="531">
      <c r="D531" s="64"/>
      <c r="E531" s="11"/>
      <c r="O531" s="52"/>
      <c r="P531" s="52"/>
    </row>
    <row r="532">
      <c r="D532" s="64"/>
      <c r="E532" s="11"/>
      <c r="O532" s="52"/>
      <c r="P532" s="52"/>
    </row>
    <row r="533">
      <c r="D533" s="64"/>
      <c r="E533" s="11"/>
      <c r="O533" s="52"/>
      <c r="P533" s="52"/>
    </row>
    <row r="534">
      <c r="D534" s="64"/>
      <c r="E534" s="11"/>
      <c r="O534" s="52"/>
      <c r="P534" s="52"/>
    </row>
    <row r="535">
      <c r="D535" s="64"/>
      <c r="E535" s="11"/>
      <c r="O535" s="52"/>
      <c r="P535" s="52"/>
    </row>
    <row r="536">
      <c r="D536" s="64"/>
      <c r="E536" s="11"/>
      <c r="O536" s="52"/>
      <c r="P536" s="52"/>
    </row>
    <row r="537">
      <c r="D537" s="64"/>
      <c r="E537" s="11"/>
      <c r="O537" s="52"/>
      <c r="P537" s="52"/>
    </row>
    <row r="538">
      <c r="D538" s="64"/>
      <c r="E538" s="11"/>
      <c r="O538" s="52"/>
      <c r="P538" s="52"/>
    </row>
    <row r="539">
      <c r="D539" s="64"/>
      <c r="E539" s="11"/>
      <c r="O539" s="52"/>
      <c r="P539" s="52"/>
    </row>
    <row r="540">
      <c r="D540" s="64"/>
      <c r="E540" s="11"/>
      <c r="O540" s="52"/>
      <c r="P540" s="52"/>
    </row>
    <row r="541">
      <c r="D541" s="64"/>
      <c r="E541" s="11"/>
      <c r="O541" s="52"/>
      <c r="P541" s="52"/>
    </row>
    <row r="542">
      <c r="D542" s="64"/>
      <c r="E542" s="11"/>
      <c r="O542" s="52"/>
      <c r="P542" s="52"/>
    </row>
    <row r="543">
      <c r="D543" s="64"/>
      <c r="E543" s="11"/>
      <c r="O543" s="52"/>
      <c r="P543" s="52"/>
    </row>
    <row r="544">
      <c r="D544" s="64"/>
      <c r="E544" s="11"/>
      <c r="O544" s="52"/>
      <c r="P544" s="52"/>
    </row>
    <row r="545">
      <c r="D545" s="64"/>
      <c r="E545" s="11"/>
      <c r="O545" s="52"/>
      <c r="P545" s="52"/>
    </row>
    <row r="546">
      <c r="D546" s="64"/>
      <c r="E546" s="11"/>
      <c r="O546" s="52"/>
      <c r="P546" s="52"/>
    </row>
    <row r="547">
      <c r="D547" s="64"/>
      <c r="E547" s="11"/>
      <c r="O547" s="52"/>
      <c r="P547" s="52"/>
    </row>
    <row r="548">
      <c r="D548" s="64"/>
      <c r="E548" s="11"/>
      <c r="O548" s="52"/>
      <c r="P548" s="52"/>
    </row>
    <row r="549">
      <c r="D549" s="64"/>
      <c r="E549" s="11"/>
      <c r="O549" s="52"/>
      <c r="P549" s="52"/>
    </row>
    <row r="550">
      <c r="D550" s="64"/>
      <c r="E550" s="11"/>
      <c r="O550" s="52"/>
      <c r="P550" s="52"/>
    </row>
    <row r="551">
      <c r="D551" s="64"/>
      <c r="E551" s="11"/>
      <c r="O551" s="52"/>
      <c r="P551" s="52"/>
    </row>
    <row r="552">
      <c r="D552" s="64"/>
      <c r="E552" s="11"/>
      <c r="O552" s="52"/>
      <c r="P552" s="52"/>
    </row>
    <row r="553">
      <c r="D553" s="64"/>
      <c r="E553" s="11"/>
      <c r="O553" s="52"/>
      <c r="P553" s="52"/>
    </row>
    <row r="554">
      <c r="D554" s="64"/>
      <c r="E554" s="11"/>
      <c r="O554" s="52"/>
      <c r="P554" s="52"/>
    </row>
    <row r="555">
      <c r="D555" s="64"/>
      <c r="E555" s="11"/>
      <c r="O555" s="52"/>
      <c r="P555" s="52"/>
    </row>
    <row r="556">
      <c r="D556" s="64"/>
      <c r="E556" s="11"/>
      <c r="O556" s="52"/>
      <c r="P556" s="52"/>
    </row>
    <row r="557">
      <c r="D557" s="64"/>
      <c r="E557" s="11"/>
      <c r="O557" s="52"/>
      <c r="P557" s="52"/>
    </row>
    <row r="558">
      <c r="D558" s="64"/>
      <c r="E558" s="11"/>
      <c r="O558" s="52"/>
      <c r="P558" s="52"/>
    </row>
    <row r="559">
      <c r="D559" s="64"/>
      <c r="E559" s="11"/>
      <c r="O559" s="52"/>
      <c r="P559" s="52"/>
    </row>
    <row r="560">
      <c r="D560" s="64"/>
      <c r="E560" s="11"/>
      <c r="O560" s="52"/>
      <c r="P560" s="52"/>
    </row>
    <row r="561">
      <c r="D561" s="64"/>
      <c r="E561" s="11"/>
      <c r="O561" s="52"/>
      <c r="P561" s="52"/>
    </row>
    <row r="562">
      <c r="D562" s="64"/>
      <c r="E562" s="11"/>
      <c r="O562" s="52"/>
      <c r="P562" s="52"/>
    </row>
    <row r="563">
      <c r="D563" s="64"/>
      <c r="E563" s="11"/>
      <c r="O563" s="52"/>
      <c r="P563" s="52"/>
    </row>
    <row r="564">
      <c r="D564" s="64"/>
      <c r="E564" s="11"/>
      <c r="O564" s="52"/>
      <c r="P564" s="52"/>
    </row>
    <row r="565">
      <c r="D565" s="64"/>
      <c r="E565" s="11"/>
      <c r="O565" s="52"/>
      <c r="P565" s="52"/>
    </row>
    <row r="566">
      <c r="D566" s="64"/>
      <c r="E566" s="11"/>
      <c r="O566" s="52"/>
      <c r="P566" s="52"/>
    </row>
    <row r="567">
      <c r="D567" s="64"/>
      <c r="E567" s="11"/>
      <c r="O567" s="52"/>
      <c r="P567" s="52"/>
    </row>
    <row r="568">
      <c r="D568" s="64"/>
      <c r="E568" s="11"/>
      <c r="O568" s="52"/>
      <c r="P568" s="52"/>
    </row>
    <row r="569">
      <c r="D569" s="64"/>
      <c r="E569" s="11"/>
      <c r="O569" s="52"/>
      <c r="P569" s="52"/>
    </row>
    <row r="570">
      <c r="D570" s="64"/>
      <c r="E570" s="11"/>
      <c r="O570" s="52"/>
      <c r="P570" s="52"/>
    </row>
    <row r="571">
      <c r="D571" s="64"/>
      <c r="E571" s="11"/>
      <c r="O571" s="52"/>
      <c r="P571" s="52"/>
    </row>
    <row r="572">
      <c r="D572" s="64"/>
      <c r="E572" s="11"/>
      <c r="O572" s="52"/>
      <c r="P572" s="52"/>
    </row>
    <row r="573">
      <c r="D573" s="64"/>
      <c r="E573" s="11"/>
      <c r="O573" s="52"/>
      <c r="P573" s="52"/>
    </row>
    <row r="574">
      <c r="D574" s="64"/>
      <c r="E574" s="11"/>
      <c r="O574" s="52"/>
      <c r="P574" s="52"/>
    </row>
    <row r="575">
      <c r="D575" s="64"/>
      <c r="E575" s="11"/>
      <c r="O575" s="52"/>
      <c r="P575" s="52"/>
    </row>
    <row r="576">
      <c r="D576" s="64"/>
      <c r="E576" s="11"/>
      <c r="O576" s="52"/>
      <c r="P576" s="52"/>
    </row>
    <row r="577">
      <c r="D577" s="64"/>
      <c r="E577" s="11"/>
      <c r="O577" s="52"/>
      <c r="P577" s="52"/>
    </row>
    <row r="578">
      <c r="D578" s="64"/>
      <c r="E578" s="11"/>
      <c r="O578" s="52"/>
      <c r="P578" s="52"/>
    </row>
    <row r="579">
      <c r="D579" s="64"/>
      <c r="E579" s="11"/>
      <c r="O579" s="52"/>
      <c r="P579" s="52"/>
    </row>
    <row r="580">
      <c r="D580" s="64"/>
      <c r="E580" s="11"/>
      <c r="O580" s="52"/>
      <c r="P580" s="52"/>
    </row>
    <row r="581">
      <c r="D581" s="64"/>
      <c r="E581" s="11"/>
      <c r="O581" s="52"/>
      <c r="P581" s="52"/>
    </row>
    <row r="582">
      <c r="D582" s="64"/>
      <c r="E582" s="11"/>
      <c r="O582" s="52"/>
      <c r="P582" s="52"/>
    </row>
    <row r="583">
      <c r="D583" s="64"/>
      <c r="E583" s="11"/>
      <c r="O583" s="52"/>
      <c r="P583" s="52"/>
    </row>
    <row r="584">
      <c r="D584" s="64"/>
      <c r="E584" s="11"/>
      <c r="O584" s="52"/>
      <c r="P584" s="52"/>
    </row>
    <row r="585">
      <c r="D585" s="64"/>
      <c r="E585" s="11"/>
      <c r="O585" s="52"/>
      <c r="P585" s="52"/>
    </row>
    <row r="586">
      <c r="D586" s="64"/>
      <c r="E586" s="11"/>
      <c r="O586" s="52"/>
      <c r="P586" s="52"/>
    </row>
    <row r="587">
      <c r="D587" s="64"/>
      <c r="E587" s="11"/>
      <c r="O587" s="52"/>
      <c r="P587" s="52"/>
    </row>
    <row r="588">
      <c r="D588" s="64"/>
      <c r="E588" s="11"/>
      <c r="O588" s="52"/>
      <c r="P588" s="52"/>
    </row>
    <row r="589">
      <c r="D589" s="64"/>
      <c r="E589" s="11"/>
      <c r="O589" s="52"/>
      <c r="P589" s="52"/>
    </row>
    <row r="590">
      <c r="D590" s="64"/>
      <c r="E590" s="11"/>
      <c r="O590" s="52"/>
      <c r="P590" s="52"/>
    </row>
    <row r="591">
      <c r="D591" s="64"/>
      <c r="E591" s="11"/>
      <c r="O591" s="52"/>
      <c r="P591" s="52"/>
    </row>
    <row r="592">
      <c r="D592" s="64"/>
      <c r="E592" s="11"/>
      <c r="O592" s="52"/>
      <c r="P592" s="52"/>
    </row>
    <row r="593">
      <c r="D593" s="64"/>
      <c r="E593" s="11"/>
      <c r="O593" s="52"/>
      <c r="P593" s="52"/>
    </row>
    <row r="594">
      <c r="D594" s="64"/>
      <c r="E594" s="11"/>
      <c r="O594" s="52"/>
      <c r="P594" s="52"/>
    </row>
    <row r="595">
      <c r="D595" s="64"/>
      <c r="E595" s="11"/>
      <c r="O595" s="52"/>
      <c r="P595" s="52"/>
    </row>
    <row r="596">
      <c r="D596" s="64"/>
      <c r="E596" s="11"/>
      <c r="O596" s="52"/>
      <c r="P596" s="52"/>
    </row>
    <row r="597">
      <c r="D597" s="64"/>
      <c r="E597" s="11"/>
      <c r="O597" s="52"/>
      <c r="P597" s="52"/>
    </row>
    <row r="598">
      <c r="D598" s="64"/>
      <c r="E598" s="11"/>
      <c r="O598" s="52"/>
      <c r="P598" s="52"/>
    </row>
    <row r="599">
      <c r="D599" s="64"/>
      <c r="E599" s="11"/>
      <c r="O599" s="52"/>
      <c r="P599" s="52"/>
    </row>
    <row r="600">
      <c r="D600" s="64"/>
      <c r="E600" s="11"/>
      <c r="O600" s="52"/>
      <c r="P600" s="52"/>
    </row>
    <row r="601">
      <c r="D601" s="64"/>
      <c r="E601" s="11"/>
      <c r="O601" s="52"/>
      <c r="P601" s="52"/>
    </row>
    <row r="602">
      <c r="D602" s="64"/>
      <c r="E602" s="11"/>
      <c r="O602" s="52"/>
      <c r="P602" s="52"/>
    </row>
    <row r="603">
      <c r="D603" s="64"/>
      <c r="E603" s="11"/>
      <c r="O603" s="52"/>
      <c r="P603" s="52"/>
    </row>
    <row r="604">
      <c r="D604" s="64"/>
      <c r="E604" s="11"/>
      <c r="O604" s="52"/>
      <c r="P604" s="52"/>
    </row>
    <row r="605">
      <c r="D605" s="64"/>
      <c r="E605" s="11"/>
      <c r="O605" s="52"/>
      <c r="P605" s="52"/>
    </row>
    <row r="606">
      <c r="D606" s="64"/>
      <c r="E606" s="11"/>
      <c r="O606" s="52"/>
      <c r="P606" s="52"/>
    </row>
    <row r="607">
      <c r="D607" s="64"/>
      <c r="E607" s="11"/>
      <c r="O607" s="52"/>
      <c r="P607" s="52"/>
    </row>
    <row r="608">
      <c r="D608" s="64"/>
      <c r="E608" s="11"/>
      <c r="O608" s="52"/>
      <c r="P608" s="52"/>
    </row>
    <row r="609">
      <c r="D609" s="64"/>
      <c r="E609" s="11"/>
      <c r="O609" s="52"/>
      <c r="P609" s="52"/>
    </row>
    <row r="610">
      <c r="D610" s="64"/>
      <c r="E610" s="11"/>
      <c r="O610" s="52"/>
      <c r="P610" s="52"/>
    </row>
    <row r="611">
      <c r="D611" s="64"/>
      <c r="E611" s="11"/>
      <c r="O611" s="52"/>
      <c r="P611" s="52"/>
    </row>
    <row r="612">
      <c r="D612" s="64"/>
      <c r="E612" s="11"/>
      <c r="O612" s="52"/>
      <c r="P612" s="52"/>
    </row>
    <row r="613">
      <c r="D613" s="64"/>
      <c r="E613" s="11"/>
      <c r="O613" s="52"/>
      <c r="P613" s="52"/>
    </row>
    <row r="614">
      <c r="D614" s="64"/>
      <c r="E614" s="11"/>
      <c r="O614" s="52"/>
      <c r="P614" s="52"/>
    </row>
    <row r="615">
      <c r="D615" s="64"/>
      <c r="E615" s="11"/>
      <c r="O615" s="52"/>
      <c r="P615" s="52"/>
    </row>
    <row r="616">
      <c r="D616" s="64"/>
      <c r="E616" s="11"/>
      <c r="O616" s="52"/>
      <c r="P616" s="52"/>
    </row>
    <row r="617">
      <c r="D617" s="64"/>
      <c r="E617" s="11"/>
      <c r="O617" s="52"/>
      <c r="P617" s="52"/>
    </row>
    <row r="618">
      <c r="D618" s="64"/>
      <c r="E618" s="11"/>
      <c r="O618" s="52"/>
      <c r="P618" s="52"/>
    </row>
    <row r="619">
      <c r="D619" s="64"/>
      <c r="E619" s="11"/>
      <c r="O619" s="52"/>
      <c r="P619" s="52"/>
    </row>
    <row r="620">
      <c r="D620" s="64"/>
      <c r="E620" s="11"/>
      <c r="O620" s="52"/>
      <c r="P620" s="52"/>
    </row>
    <row r="621">
      <c r="D621" s="64"/>
      <c r="E621" s="11"/>
      <c r="O621" s="52"/>
      <c r="P621" s="52"/>
    </row>
    <row r="622">
      <c r="D622" s="64"/>
      <c r="E622" s="11"/>
      <c r="O622" s="52"/>
      <c r="P622" s="52"/>
    </row>
    <row r="623">
      <c r="D623" s="64"/>
      <c r="E623" s="11"/>
      <c r="O623" s="52"/>
      <c r="P623" s="52"/>
    </row>
    <row r="624">
      <c r="D624" s="64"/>
      <c r="E624" s="11"/>
      <c r="O624" s="52"/>
      <c r="P624" s="52"/>
    </row>
    <row r="625">
      <c r="D625" s="64"/>
      <c r="E625" s="11"/>
      <c r="O625" s="52"/>
      <c r="P625" s="52"/>
    </row>
    <row r="626">
      <c r="D626" s="64"/>
      <c r="E626" s="11"/>
      <c r="O626" s="52"/>
      <c r="P626" s="52"/>
    </row>
    <row r="627">
      <c r="D627" s="64"/>
      <c r="E627" s="11"/>
      <c r="O627" s="52"/>
      <c r="P627" s="52"/>
    </row>
    <row r="628">
      <c r="D628" s="64"/>
      <c r="E628" s="11"/>
      <c r="O628" s="52"/>
      <c r="P628" s="52"/>
    </row>
    <row r="629">
      <c r="D629" s="64"/>
      <c r="E629" s="11"/>
      <c r="O629" s="52"/>
      <c r="P629" s="52"/>
    </row>
    <row r="630">
      <c r="D630" s="64"/>
      <c r="E630" s="11"/>
      <c r="O630" s="52"/>
      <c r="P630" s="52"/>
    </row>
    <row r="631">
      <c r="D631" s="64"/>
      <c r="E631" s="11"/>
      <c r="O631" s="52"/>
      <c r="P631" s="52"/>
    </row>
    <row r="632">
      <c r="D632" s="64"/>
      <c r="E632" s="11"/>
      <c r="O632" s="52"/>
      <c r="P632" s="52"/>
    </row>
    <row r="633">
      <c r="D633" s="64"/>
      <c r="E633" s="11"/>
      <c r="O633" s="52"/>
      <c r="P633" s="52"/>
    </row>
    <row r="634">
      <c r="D634" s="64"/>
      <c r="E634" s="11"/>
      <c r="O634" s="52"/>
      <c r="P634" s="52"/>
    </row>
    <row r="635">
      <c r="D635" s="64"/>
      <c r="E635" s="11"/>
      <c r="O635" s="52"/>
      <c r="P635" s="52"/>
    </row>
    <row r="636">
      <c r="D636" s="64"/>
      <c r="E636" s="11"/>
      <c r="O636" s="52"/>
      <c r="P636" s="52"/>
    </row>
    <row r="637">
      <c r="D637" s="64"/>
      <c r="E637" s="11"/>
      <c r="O637" s="52"/>
      <c r="P637" s="52"/>
    </row>
    <row r="638">
      <c r="D638" s="64"/>
      <c r="E638" s="11"/>
      <c r="O638" s="52"/>
      <c r="P638" s="52"/>
    </row>
    <row r="639">
      <c r="D639" s="64"/>
      <c r="E639" s="11"/>
      <c r="O639" s="52"/>
      <c r="P639" s="52"/>
    </row>
    <row r="640">
      <c r="D640" s="64"/>
      <c r="E640" s="11"/>
      <c r="O640" s="52"/>
      <c r="P640" s="52"/>
    </row>
    <row r="641">
      <c r="D641" s="64"/>
      <c r="E641" s="11"/>
      <c r="O641" s="52"/>
      <c r="P641" s="52"/>
    </row>
    <row r="642">
      <c r="D642" s="64"/>
      <c r="E642" s="11"/>
      <c r="O642" s="52"/>
      <c r="P642" s="52"/>
    </row>
    <row r="643">
      <c r="D643" s="64"/>
      <c r="E643" s="11"/>
      <c r="O643" s="52"/>
      <c r="P643" s="52"/>
    </row>
    <row r="644">
      <c r="D644" s="64"/>
      <c r="E644" s="11"/>
      <c r="O644" s="52"/>
      <c r="P644" s="52"/>
    </row>
    <row r="645">
      <c r="D645" s="64"/>
      <c r="E645" s="11"/>
      <c r="O645" s="52"/>
      <c r="P645" s="52"/>
    </row>
    <row r="646">
      <c r="D646" s="64"/>
      <c r="E646" s="11"/>
      <c r="O646" s="52"/>
      <c r="P646" s="52"/>
    </row>
    <row r="647">
      <c r="D647" s="64"/>
      <c r="E647" s="11"/>
      <c r="O647" s="52"/>
      <c r="P647" s="52"/>
    </row>
    <row r="648">
      <c r="D648" s="64"/>
      <c r="E648" s="11"/>
      <c r="O648" s="52"/>
      <c r="P648" s="52"/>
    </row>
    <row r="649">
      <c r="D649" s="64"/>
      <c r="E649" s="11"/>
      <c r="O649" s="52"/>
      <c r="P649" s="52"/>
    </row>
    <row r="650">
      <c r="D650" s="64"/>
      <c r="E650" s="11"/>
      <c r="O650" s="52"/>
      <c r="P650" s="52"/>
    </row>
    <row r="651">
      <c r="D651" s="64"/>
      <c r="E651" s="11"/>
      <c r="O651" s="52"/>
      <c r="P651" s="52"/>
    </row>
    <row r="652">
      <c r="D652" s="64"/>
      <c r="E652" s="11"/>
      <c r="O652" s="52"/>
      <c r="P652" s="52"/>
    </row>
    <row r="653">
      <c r="D653" s="64"/>
      <c r="E653" s="11"/>
      <c r="O653" s="52"/>
      <c r="P653" s="52"/>
    </row>
    <row r="654">
      <c r="D654" s="64"/>
      <c r="E654" s="11"/>
      <c r="O654" s="52"/>
      <c r="P654" s="52"/>
    </row>
    <row r="655">
      <c r="D655" s="64"/>
      <c r="E655" s="11"/>
      <c r="O655" s="52"/>
      <c r="P655" s="52"/>
    </row>
    <row r="656">
      <c r="D656" s="64"/>
      <c r="E656" s="11"/>
      <c r="O656" s="52"/>
      <c r="P656" s="52"/>
    </row>
    <row r="657">
      <c r="D657" s="64"/>
      <c r="E657" s="11"/>
      <c r="O657" s="52"/>
      <c r="P657" s="52"/>
    </row>
    <row r="658">
      <c r="D658" s="64"/>
      <c r="E658" s="11"/>
      <c r="O658" s="52"/>
      <c r="P658" s="52"/>
    </row>
    <row r="659">
      <c r="D659" s="64"/>
      <c r="E659" s="11"/>
      <c r="O659" s="52"/>
      <c r="P659" s="52"/>
    </row>
    <row r="660">
      <c r="D660" s="64"/>
      <c r="E660" s="11"/>
      <c r="O660" s="52"/>
      <c r="P660" s="52"/>
    </row>
    <row r="661">
      <c r="D661" s="64"/>
      <c r="E661" s="11"/>
      <c r="O661" s="52"/>
      <c r="P661" s="52"/>
    </row>
    <row r="662">
      <c r="D662" s="64"/>
      <c r="E662" s="11"/>
      <c r="O662" s="52"/>
      <c r="P662" s="52"/>
    </row>
    <row r="663">
      <c r="D663" s="64"/>
      <c r="E663" s="11"/>
      <c r="O663" s="52"/>
      <c r="P663" s="52"/>
    </row>
    <row r="664">
      <c r="D664" s="64"/>
      <c r="E664" s="11"/>
      <c r="O664" s="52"/>
      <c r="P664" s="52"/>
    </row>
    <row r="665">
      <c r="D665" s="64"/>
      <c r="E665" s="11"/>
      <c r="O665" s="52"/>
      <c r="P665" s="52"/>
    </row>
    <row r="666">
      <c r="D666" s="64"/>
      <c r="E666" s="11"/>
      <c r="O666" s="52"/>
      <c r="P666" s="52"/>
    </row>
    <row r="667">
      <c r="D667" s="64"/>
      <c r="E667" s="11"/>
      <c r="O667" s="52"/>
      <c r="P667" s="52"/>
    </row>
    <row r="668">
      <c r="D668" s="64"/>
      <c r="E668" s="11"/>
      <c r="O668" s="52"/>
      <c r="P668" s="52"/>
    </row>
    <row r="669">
      <c r="D669" s="64"/>
      <c r="E669" s="11"/>
      <c r="O669" s="52"/>
      <c r="P669" s="52"/>
    </row>
    <row r="670">
      <c r="D670" s="64"/>
      <c r="E670" s="11"/>
      <c r="O670" s="52"/>
      <c r="P670" s="52"/>
    </row>
    <row r="671">
      <c r="D671" s="64"/>
      <c r="E671" s="11"/>
      <c r="O671" s="52"/>
      <c r="P671" s="52"/>
    </row>
    <row r="672">
      <c r="D672" s="64"/>
      <c r="E672" s="11"/>
      <c r="O672" s="52"/>
      <c r="P672" s="52"/>
    </row>
    <row r="673">
      <c r="D673" s="64"/>
      <c r="E673" s="11"/>
      <c r="O673" s="52"/>
      <c r="P673" s="52"/>
    </row>
    <row r="674">
      <c r="D674" s="64"/>
      <c r="E674" s="11"/>
      <c r="O674" s="52"/>
      <c r="P674" s="52"/>
    </row>
    <row r="675">
      <c r="D675" s="64"/>
      <c r="E675" s="11"/>
      <c r="O675" s="52"/>
      <c r="P675" s="52"/>
    </row>
    <row r="676">
      <c r="D676" s="64"/>
      <c r="E676" s="11"/>
      <c r="O676" s="52"/>
      <c r="P676" s="52"/>
    </row>
    <row r="677">
      <c r="D677" s="64"/>
      <c r="E677" s="11"/>
      <c r="O677" s="52"/>
      <c r="P677" s="52"/>
    </row>
    <row r="678">
      <c r="D678" s="64"/>
      <c r="E678" s="11"/>
      <c r="O678" s="52"/>
      <c r="P678" s="52"/>
    </row>
    <row r="679">
      <c r="D679" s="64"/>
      <c r="E679" s="11"/>
      <c r="O679" s="52"/>
      <c r="P679" s="52"/>
    </row>
    <row r="680">
      <c r="D680" s="64"/>
      <c r="E680" s="11"/>
      <c r="O680" s="52"/>
      <c r="P680" s="52"/>
    </row>
    <row r="681">
      <c r="D681" s="64"/>
      <c r="E681" s="11"/>
      <c r="O681" s="52"/>
      <c r="P681" s="52"/>
    </row>
    <row r="682">
      <c r="D682" s="64"/>
      <c r="E682" s="11"/>
      <c r="O682" s="52"/>
      <c r="P682" s="52"/>
    </row>
    <row r="683">
      <c r="D683" s="64"/>
      <c r="E683" s="11"/>
      <c r="O683" s="52"/>
      <c r="P683" s="52"/>
    </row>
    <row r="684">
      <c r="D684" s="64"/>
      <c r="E684" s="11"/>
      <c r="O684" s="52"/>
      <c r="P684" s="52"/>
    </row>
    <row r="685">
      <c r="D685" s="64"/>
      <c r="E685" s="11"/>
      <c r="O685" s="52"/>
      <c r="P685" s="52"/>
    </row>
    <row r="686">
      <c r="D686" s="64"/>
      <c r="E686" s="11"/>
      <c r="O686" s="52"/>
      <c r="P686" s="52"/>
    </row>
    <row r="687">
      <c r="D687" s="64"/>
      <c r="E687" s="11"/>
      <c r="O687" s="52"/>
      <c r="P687" s="52"/>
    </row>
    <row r="688">
      <c r="D688" s="64"/>
      <c r="E688" s="11"/>
      <c r="O688" s="52"/>
      <c r="P688" s="52"/>
    </row>
    <row r="689">
      <c r="D689" s="64"/>
      <c r="E689" s="11"/>
      <c r="O689" s="52"/>
      <c r="P689" s="52"/>
    </row>
    <row r="690">
      <c r="D690" s="64"/>
      <c r="E690" s="11"/>
      <c r="O690" s="52"/>
      <c r="P690" s="52"/>
    </row>
    <row r="691">
      <c r="D691" s="64"/>
      <c r="E691" s="11"/>
      <c r="O691" s="52"/>
      <c r="P691" s="52"/>
    </row>
    <row r="692">
      <c r="D692" s="64"/>
      <c r="E692" s="11"/>
      <c r="O692" s="52"/>
      <c r="P692" s="52"/>
    </row>
    <row r="693">
      <c r="D693" s="64"/>
      <c r="E693" s="11"/>
      <c r="O693" s="52"/>
      <c r="P693" s="52"/>
    </row>
    <row r="694">
      <c r="D694" s="64"/>
      <c r="E694" s="11"/>
      <c r="O694" s="52"/>
      <c r="P694" s="52"/>
    </row>
    <row r="695">
      <c r="D695" s="64"/>
      <c r="E695" s="11"/>
      <c r="O695" s="52"/>
      <c r="P695" s="52"/>
    </row>
    <row r="696">
      <c r="D696" s="64"/>
      <c r="E696" s="11"/>
      <c r="O696" s="52"/>
      <c r="P696" s="52"/>
    </row>
    <row r="697">
      <c r="D697" s="64"/>
      <c r="E697" s="11"/>
      <c r="O697" s="52"/>
      <c r="P697" s="52"/>
    </row>
    <row r="698">
      <c r="D698" s="64"/>
      <c r="E698" s="11"/>
      <c r="O698" s="52"/>
      <c r="P698" s="52"/>
    </row>
    <row r="699">
      <c r="D699" s="64"/>
      <c r="E699" s="11"/>
      <c r="O699" s="52"/>
      <c r="P699" s="52"/>
    </row>
    <row r="700">
      <c r="D700" s="64"/>
      <c r="E700" s="11"/>
      <c r="O700" s="52"/>
      <c r="P700" s="52"/>
    </row>
    <row r="701">
      <c r="D701" s="64"/>
      <c r="E701" s="11"/>
      <c r="O701" s="52"/>
      <c r="P701" s="52"/>
    </row>
    <row r="702">
      <c r="D702" s="64"/>
      <c r="E702" s="11"/>
      <c r="O702" s="52"/>
      <c r="P702" s="52"/>
    </row>
    <row r="703">
      <c r="D703" s="64"/>
      <c r="E703" s="11"/>
      <c r="O703" s="52"/>
      <c r="P703" s="52"/>
    </row>
    <row r="704">
      <c r="D704" s="64"/>
      <c r="E704" s="11"/>
      <c r="O704" s="52"/>
      <c r="P704" s="52"/>
    </row>
    <row r="705">
      <c r="D705" s="64"/>
      <c r="E705" s="11"/>
      <c r="O705" s="52"/>
      <c r="P705" s="52"/>
    </row>
    <row r="706">
      <c r="D706" s="64"/>
      <c r="E706" s="11"/>
      <c r="O706" s="52"/>
      <c r="P706" s="52"/>
    </row>
    <row r="707">
      <c r="D707" s="64"/>
      <c r="E707" s="11"/>
      <c r="O707" s="52"/>
      <c r="P707" s="52"/>
    </row>
    <row r="708">
      <c r="D708" s="64"/>
      <c r="E708" s="11"/>
      <c r="O708" s="52"/>
      <c r="P708" s="52"/>
    </row>
    <row r="709">
      <c r="D709" s="64"/>
      <c r="E709" s="11"/>
      <c r="O709" s="52"/>
      <c r="P709" s="52"/>
    </row>
    <row r="710">
      <c r="D710" s="64"/>
      <c r="E710" s="11"/>
      <c r="O710" s="52"/>
      <c r="P710" s="52"/>
    </row>
    <row r="711">
      <c r="D711" s="64"/>
      <c r="E711" s="11"/>
      <c r="O711" s="52"/>
      <c r="P711" s="52"/>
    </row>
    <row r="712">
      <c r="D712" s="64"/>
      <c r="E712" s="11"/>
      <c r="O712" s="52"/>
      <c r="P712" s="52"/>
    </row>
    <row r="713">
      <c r="D713" s="64"/>
      <c r="E713" s="11"/>
      <c r="O713" s="52"/>
      <c r="P713" s="52"/>
    </row>
    <row r="714">
      <c r="D714" s="64"/>
      <c r="E714" s="11"/>
      <c r="O714" s="52"/>
      <c r="P714" s="52"/>
    </row>
    <row r="715">
      <c r="D715" s="64"/>
      <c r="E715" s="11"/>
      <c r="O715" s="52"/>
      <c r="P715" s="52"/>
    </row>
    <row r="716">
      <c r="D716" s="64"/>
      <c r="E716" s="11"/>
      <c r="O716" s="52"/>
      <c r="P716" s="52"/>
    </row>
    <row r="717">
      <c r="D717" s="64"/>
      <c r="E717" s="11"/>
      <c r="O717" s="52"/>
      <c r="P717" s="52"/>
    </row>
    <row r="718">
      <c r="D718" s="64"/>
      <c r="E718" s="11"/>
      <c r="O718" s="52"/>
      <c r="P718" s="52"/>
    </row>
    <row r="719">
      <c r="D719" s="64"/>
      <c r="E719" s="11"/>
      <c r="O719" s="52"/>
      <c r="P719" s="52"/>
    </row>
    <row r="720">
      <c r="D720" s="64"/>
      <c r="E720" s="11"/>
      <c r="O720" s="52"/>
      <c r="P720" s="52"/>
    </row>
    <row r="721">
      <c r="D721" s="64"/>
      <c r="E721" s="11"/>
      <c r="O721" s="52"/>
      <c r="P721" s="52"/>
    </row>
    <row r="722">
      <c r="D722" s="64"/>
      <c r="E722" s="11"/>
      <c r="O722" s="52"/>
      <c r="P722" s="52"/>
    </row>
    <row r="723">
      <c r="D723" s="64"/>
      <c r="E723" s="11"/>
      <c r="O723" s="52"/>
      <c r="P723" s="52"/>
    </row>
    <row r="724">
      <c r="D724" s="64"/>
      <c r="E724" s="11"/>
      <c r="O724" s="52"/>
      <c r="P724" s="52"/>
    </row>
    <row r="725">
      <c r="D725" s="64"/>
      <c r="E725" s="11"/>
      <c r="O725" s="52"/>
      <c r="P725" s="52"/>
    </row>
    <row r="726">
      <c r="D726" s="64"/>
      <c r="E726" s="11"/>
      <c r="O726" s="52"/>
      <c r="P726" s="52"/>
    </row>
    <row r="727">
      <c r="D727" s="64"/>
      <c r="E727" s="11"/>
      <c r="O727" s="52"/>
      <c r="P727" s="52"/>
    </row>
    <row r="728">
      <c r="D728" s="64"/>
      <c r="E728" s="11"/>
      <c r="O728" s="52"/>
      <c r="P728" s="52"/>
    </row>
    <row r="729">
      <c r="D729" s="64"/>
      <c r="E729" s="11"/>
      <c r="O729" s="52"/>
      <c r="P729" s="52"/>
    </row>
    <row r="730">
      <c r="D730" s="64"/>
      <c r="E730" s="11"/>
      <c r="O730" s="52"/>
      <c r="P730" s="52"/>
    </row>
    <row r="731">
      <c r="D731" s="64"/>
      <c r="E731" s="11"/>
      <c r="O731" s="52"/>
      <c r="P731" s="52"/>
    </row>
    <row r="732">
      <c r="D732" s="64"/>
      <c r="E732" s="11"/>
      <c r="O732" s="52"/>
      <c r="P732" s="52"/>
    </row>
    <row r="733">
      <c r="D733" s="64"/>
      <c r="E733" s="11"/>
      <c r="O733" s="52"/>
      <c r="P733" s="52"/>
    </row>
    <row r="734">
      <c r="D734" s="64"/>
      <c r="E734" s="11"/>
      <c r="O734" s="52"/>
      <c r="P734" s="52"/>
    </row>
    <row r="735">
      <c r="D735" s="64"/>
      <c r="E735" s="11"/>
      <c r="O735" s="52"/>
      <c r="P735" s="52"/>
    </row>
    <row r="736">
      <c r="D736" s="64"/>
      <c r="E736" s="11"/>
      <c r="O736" s="52"/>
      <c r="P736" s="52"/>
    </row>
    <row r="737">
      <c r="D737" s="64"/>
      <c r="E737" s="11"/>
      <c r="O737" s="52"/>
      <c r="P737" s="52"/>
    </row>
    <row r="738">
      <c r="D738" s="64"/>
      <c r="E738" s="11"/>
      <c r="O738" s="52"/>
      <c r="P738" s="52"/>
    </row>
    <row r="739">
      <c r="D739" s="64"/>
      <c r="E739" s="11"/>
      <c r="O739" s="52"/>
      <c r="P739" s="52"/>
    </row>
    <row r="740">
      <c r="D740" s="64"/>
      <c r="E740" s="11"/>
      <c r="O740" s="52"/>
      <c r="P740" s="52"/>
    </row>
    <row r="741">
      <c r="D741" s="64"/>
      <c r="E741" s="11"/>
      <c r="O741" s="52"/>
      <c r="P741" s="52"/>
    </row>
    <row r="742">
      <c r="D742" s="64"/>
      <c r="E742" s="11"/>
      <c r="O742" s="52"/>
      <c r="P742" s="52"/>
    </row>
    <row r="743">
      <c r="D743" s="64"/>
      <c r="E743" s="11"/>
      <c r="O743" s="52"/>
      <c r="P743" s="52"/>
    </row>
    <row r="744">
      <c r="D744" s="64"/>
      <c r="E744" s="11"/>
      <c r="O744" s="52"/>
      <c r="P744" s="52"/>
    </row>
    <row r="745">
      <c r="D745" s="64"/>
      <c r="E745" s="11"/>
      <c r="O745" s="52"/>
      <c r="P745" s="52"/>
    </row>
    <row r="746">
      <c r="D746" s="64"/>
      <c r="E746" s="11"/>
      <c r="O746" s="52"/>
      <c r="P746" s="52"/>
    </row>
    <row r="747">
      <c r="D747" s="64"/>
      <c r="E747" s="11"/>
      <c r="O747" s="52"/>
      <c r="P747" s="52"/>
    </row>
    <row r="748">
      <c r="D748" s="64"/>
      <c r="E748" s="11"/>
      <c r="O748" s="52"/>
      <c r="P748" s="52"/>
    </row>
    <row r="749">
      <c r="D749" s="64"/>
      <c r="E749" s="11"/>
      <c r="O749" s="52"/>
      <c r="P749" s="52"/>
    </row>
    <row r="750">
      <c r="D750" s="64"/>
      <c r="E750" s="11"/>
      <c r="O750" s="52"/>
      <c r="P750" s="52"/>
    </row>
    <row r="751">
      <c r="D751" s="64"/>
      <c r="E751" s="11"/>
      <c r="O751" s="52"/>
      <c r="P751" s="52"/>
    </row>
    <row r="752">
      <c r="D752" s="64"/>
      <c r="E752" s="11"/>
      <c r="O752" s="52"/>
      <c r="P752" s="52"/>
    </row>
    <row r="753">
      <c r="D753" s="64"/>
      <c r="E753" s="11"/>
      <c r="O753" s="52"/>
      <c r="P753" s="52"/>
    </row>
    <row r="754">
      <c r="D754" s="64"/>
      <c r="E754" s="11"/>
      <c r="O754" s="52"/>
      <c r="P754" s="52"/>
    </row>
    <row r="755">
      <c r="D755" s="64"/>
      <c r="E755" s="11"/>
      <c r="O755" s="52"/>
      <c r="P755" s="52"/>
    </row>
    <row r="756">
      <c r="D756" s="64"/>
      <c r="E756" s="11"/>
      <c r="O756" s="52"/>
      <c r="P756" s="52"/>
    </row>
    <row r="757">
      <c r="D757" s="64"/>
      <c r="E757" s="11"/>
      <c r="O757" s="52"/>
      <c r="P757" s="52"/>
    </row>
    <row r="758">
      <c r="D758" s="64"/>
      <c r="E758" s="11"/>
      <c r="O758" s="52"/>
      <c r="P758" s="52"/>
    </row>
    <row r="759">
      <c r="D759" s="64"/>
      <c r="E759" s="11"/>
      <c r="O759" s="52"/>
      <c r="P759" s="52"/>
    </row>
    <row r="760">
      <c r="D760" s="64"/>
      <c r="E760" s="11"/>
      <c r="O760" s="52"/>
      <c r="P760" s="52"/>
    </row>
    <row r="761">
      <c r="D761" s="64"/>
      <c r="E761" s="11"/>
      <c r="O761" s="52"/>
      <c r="P761" s="52"/>
    </row>
    <row r="762">
      <c r="D762" s="64"/>
      <c r="E762" s="11"/>
      <c r="O762" s="52"/>
      <c r="P762" s="52"/>
    </row>
    <row r="763">
      <c r="D763" s="64"/>
      <c r="E763" s="11"/>
      <c r="O763" s="52"/>
      <c r="P763" s="52"/>
    </row>
    <row r="764">
      <c r="D764" s="64"/>
      <c r="E764" s="11"/>
      <c r="O764" s="52"/>
      <c r="P764" s="52"/>
    </row>
    <row r="765">
      <c r="D765" s="64"/>
      <c r="E765" s="11"/>
      <c r="O765" s="52"/>
      <c r="P765" s="52"/>
    </row>
    <row r="766">
      <c r="D766" s="64"/>
      <c r="E766" s="11"/>
      <c r="O766" s="52"/>
      <c r="P766" s="52"/>
    </row>
    <row r="767">
      <c r="D767" s="64"/>
      <c r="E767" s="11"/>
      <c r="O767" s="52"/>
      <c r="P767" s="52"/>
    </row>
    <row r="768">
      <c r="D768" s="64"/>
      <c r="E768" s="11"/>
      <c r="O768" s="52"/>
      <c r="P768" s="52"/>
    </row>
    <row r="769">
      <c r="D769" s="64"/>
      <c r="E769" s="11"/>
      <c r="O769" s="52"/>
      <c r="P769" s="52"/>
    </row>
    <row r="770">
      <c r="D770" s="64"/>
      <c r="E770" s="11"/>
      <c r="O770" s="52"/>
      <c r="P770" s="52"/>
    </row>
    <row r="771">
      <c r="D771" s="64"/>
      <c r="E771" s="11"/>
      <c r="O771" s="52"/>
      <c r="P771" s="52"/>
    </row>
    <row r="772">
      <c r="D772" s="64"/>
      <c r="E772" s="11"/>
      <c r="O772" s="52"/>
      <c r="P772" s="52"/>
    </row>
    <row r="773">
      <c r="D773" s="64"/>
      <c r="E773" s="11"/>
      <c r="O773" s="52"/>
      <c r="P773" s="52"/>
    </row>
    <row r="774">
      <c r="D774" s="64"/>
      <c r="E774" s="11"/>
      <c r="O774" s="52"/>
      <c r="P774" s="52"/>
    </row>
    <row r="775">
      <c r="D775" s="64"/>
      <c r="E775" s="11"/>
      <c r="O775" s="52"/>
      <c r="P775" s="52"/>
    </row>
    <row r="776">
      <c r="D776" s="64"/>
      <c r="E776" s="11"/>
      <c r="O776" s="52"/>
      <c r="P776" s="52"/>
    </row>
    <row r="777">
      <c r="D777" s="64"/>
      <c r="E777" s="11"/>
      <c r="O777" s="52"/>
      <c r="P777" s="52"/>
    </row>
    <row r="778">
      <c r="D778" s="64"/>
      <c r="E778" s="11"/>
      <c r="O778" s="52"/>
      <c r="P778" s="52"/>
    </row>
    <row r="779">
      <c r="D779" s="64"/>
      <c r="E779" s="11"/>
      <c r="O779" s="52"/>
      <c r="P779" s="52"/>
    </row>
    <row r="780">
      <c r="D780" s="64"/>
      <c r="E780" s="11"/>
      <c r="O780" s="52"/>
      <c r="P780" s="52"/>
    </row>
    <row r="781">
      <c r="D781" s="64"/>
      <c r="E781" s="11"/>
      <c r="O781" s="52"/>
      <c r="P781" s="52"/>
    </row>
    <row r="782">
      <c r="D782" s="64"/>
      <c r="E782" s="11"/>
      <c r="O782" s="52"/>
      <c r="P782" s="52"/>
    </row>
    <row r="783">
      <c r="D783" s="64"/>
      <c r="E783" s="11"/>
      <c r="O783" s="52"/>
      <c r="P783" s="52"/>
    </row>
    <row r="784">
      <c r="D784" s="64"/>
      <c r="E784" s="11"/>
      <c r="O784" s="52"/>
      <c r="P784" s="52"/>
    </row>
    <row r="785">
      <c r="D785" s="64"/>
      <c r="E785" s="11"/>
      <c r="O785" s="52"/>
      <c r="P785" s="52"/>
    </row>
    <row r="786">
      <c r="D786" s="64"/>
      <c r="E786" s="11"/>
      <c r="O786" s="52"/>
      <c r="P786" s="52"/>
    </row>
    <row r="787">
      <c r="D787" s="64"/>
      <c r="E787" s="11"/>
      <c r="O787" s="52"/>
      <c r="P787" s="52"/>
    </row>
    <row r="788">
      <c r="D788" s="64"/>
      <c r="E788" s="11"/>
      <c r="O788" s="52"/>
      <c r="P788" s="52"/>
    </row>
    <row r="789">
      <c r="D789" s="64"/>
      <c r="E789" s="11"/>
      <c r="O789" s="52"/>
      <c r="P789" s="52"/>
    </row>
    <row r="790">
      <c r="D790" s="64"/>
      <c r="E790" s="11"/>
      <c r="O790" s="52"/>
      <c r="P790" s="52"/>
    </row>
    <row r="791">
      <c r="D791" s="64"/>
      <c r="E791" s="11"/>
      <c r="O791" s="52"/>
      <c r="P791" s="52"/>
    </row>
    <row r="792">
      <c r="D792" s="64"/>
      <c r="E792" s="11"/>
      <c r="O792" s="52"/>
      <c r="P792" s="52"/>
    </row>
    <row r="793">
      <c r="D793" s="64"/>
      <c r="E793" s="11"/>
      <c r="O793" s="52"/>
      <c r="P793" s="52"/>
    </row>
    <row r="794">
      <c r="D794" s="64"/>
      <c r="E794" s="11"/>
      <c r="O794" s="52"/>
      <c r="P794" s="52"/>
    </row>
    <row r="795">
      <c r="D795" s="64"/>
      <c r="E795" s="11"/>
      <c r="O795" s="52"/>
      <c r="P795" s="52"/>
    </row>
    <row r="796">
      <c r="D796" s="64"/>
      <c r="E796" s="11"/>
      <c r="O796" s="52"/>
      <c r="P796" s="52"/>
    </row>
    <row r="797">
      <c r="D797" s="64"/>
      <c r="E797" s="11"/>
      <c r="O797" s="52"/>
      <c r="P797" s="52"/>
    </row>
    <row r="798">
      <c r="D798" s="64"/>
      <c r="E798" s="11"/>
      <c r="O798" s="52"/>
      <c r="P798" s="52"/>
    </row>
    <row r="799">
      <c r="D799" s="64"/>
      <c r="E799" s="11"/>
      <c r="O799" s="52"/>
      <c r="P799" s="52"/>
    </row>
    <row r="800">
      <c r="D800" s="64"/>
      <c r="E800" s="11"/>
      <c r="O800" s="52"/>
      <c r="P800" s="52"/>
    </row>
    <row r="801">
      <c r="D801" s="64"/>
      <c r="E801" s="11"/>
      <c r="O801" s="52"/>
      <c r="P801" s="52"/>
    </row>
    <row r="802">
      <c r="D802" s="64"/>
      <c r="E802" s="11"/>
      <c r="O802" s="52"/>
      <c r="P802" s="52"/>
    </row>
    <row r="803">
      <c r="D803" s="64"/>
      <c r="E803" s="11"/>
      <c r="O803" s="52"/>
      <c r="P803" s="52"/>
    </row>
    <row r="804">
      <c r="D804" s="64"/>
      <c r="E804" s="11"/>
      <c r="O804" s="52"/>
      <c r="P804" s="52"/>
    </row>
    <row r="805">
      <c r="D805" s="64"/>
      <c r="E805" s="11"/>
      <c r="O805" s="52"/>
      <c r="P805" s="52"/>
    </row>
    <row r="806">
      <c r="D806" s="64"/>
      <c r="E806" s="11"/>
      <c r="O806" s="52"/>
      <c r="P806" s="52"/>
    </row>
    <row r="807">
      <c r="D807" s="64"/>
      <c r="E807" s="11"/>
      <c r="O807" s="52"/>
      <c r="P807" s="52"/>
    </row>
    <row r="808">
      <c r="D808" s="64"/>
      <c r="E808" s="11"/>
      <c r="O808" s="52"/>
      <c r="P808" s="52"/>
    </row>
    <row r="809">
      <c r="D809" s="64"/>
      <c r="E809" s="11"/>
      <c r="O809" s="52"/>
      <c r="P809" s="52"/>
    </row>
    <row r="810">
      <c r="D810" s="64"/>
      <c r="E810" s="11"/>
      <c r="O810" s="52"/>
      <c r="P810" s="52"/>
    </row>
    <row r="811">
      <c r="D811" s="64"/>
      <c r="E811" s="11"/>
      <c r="O811" s="52"/>
      <c r="P811" s="52"/>
    </row>
    <row r="812">
      <c r="D812" s="64"/>
      <c r="E812" s="11"/>
      <c r="O812" s="52"/>
      <c r="P812" s="52"/>
    </row>
    <row r="813">
      <c r="D813" s="64"/>
      <c r="E813" s="11"/>
      <c r="O813" s="52"/>
      <c r="P813" s="52"/>
    </row>
    <row r="814">
      <c r="D814" s="64"/>
      <c r="E814" s="11"/>
      <c r="O814" s="52"/>
      <c r="P814" s="52"/>
    </row>
    <row r="815">
      <c r="D815" s="64"/>
      <c r="E815" s="11"/>
      <c r="O815" s="52"/>
      <c r="P815" s="52"/>
    </row>
    <row r="816">
      <c r="D816" s="64"/>
      <c r="E816" s="11"/>
      <c r="O816" s="52"/>
      <c r="P816" s="52"/>
    </row>
    <row r="817">
      <c r="D817" s="64"/>
      <c r="E817" s="11"/>
      <c r="O817" s="52"/>
      <c r="P817" s="52"/>
    </row>
    <row r="818">
      <c r="D818" s="64"/>
      <c r="E818" s="11"/>
      <c r="O818" s="52"/>
      <c r="P818" s="52"/>
    </row>
    <row r="819">
      <c r="D819" s="64"/>
      <c r="E819" s="11"/>
      <c r="O819" s="52"/>
      <c r="P819" s="52"/>
    </row>
    <row r="820">
      <c r="D820" s="64"/>
      <c r="E820" s="11"/>
      <c r="O820" s="52"/>
      <c r="P820" s="52"/>
    </row>
    <row r="821">
      <c r="D821" s="64"/>
      <c r="E821" s="11"/>
      <c r="O821" s="52"/>
      <c r="P821" s="52"/>
    </row>
    <row r="822">
      <c r="D822" s="64"/>
      <c r="E822" s="11"/>
      <c r="O822" s="52"/>
      <c r="P822" s="52"/>
    </row>
    <row r="823">
      <c r="D823" s="64"/>
      <c r="E823" s="11"/>
      <c r="O823" s="52"/>
      <c r="P823" s="52"/>
    </row>
    <row r="824">
      <c r="D824" s="64"/>
      <c r="E824" s="11"/>
      <c r="O824" s="52"/>
      <c r="P824" s="52"/>
    </row>
    <row r="825">
      <c r="D825" s="64"/>
      <c r="E825" s="11"/>
      <c r="O825" s="52"/>
      <c r="P825" s="52"/>
    </row>
    <row r="826">
      <c r="D826" s="64"/>
      <c r="E826" s="11"/>
      <c r="O826" s="52"/>
      <c r="P826" s="52"/>
    </row>
    <row r="827">
      <c r="D827" s="64"/>
      <c r="E827" s="11"/>
      <c r="O827" s="52"/>
      <c r="P827" s="52"/>
    </row>
    <row r="828">
      <c r="D828" s="64"/>
      <c r="E828" s="11"/>
      <c r="O828" s="52"/>
      <c r="P828" s="52"/>
    </row>
    <row r="829">
      <c r="D829" s="64"/>
      <c r="E829" s="11"/>
      <c r="O829" s="52"/>
      <c r="P829" s="52"/>
    </row>
    <row r="830">
      <c r="D830" s="64"/>
      <c r="E830" s="11"/>
      <c r="O830" s="52"/>
      <c r="P830" s="52"/>
    </row>
    <row r="831">
      <c r="D831" s="64"/>
      <c r="E831" s="11"/>
      <c r="O831" s="52"/>
      <c r="P831" s="52"/>
    </row>
    <row r="832">
      <c r="D832" s="64"/>
      <c r="E832" s="11"/>
      <c r="O832" s="52"/>
      <c r="P832" s="52"/>
    </row>
    <row r="833">
      <c r="D833" s="64"/>
      <c r="E833" s="11"/>
      <c r="O833" s="52"/>
      <c r="P833" s="52"/>
    </row>
    <row r="834">
      <c r="D834" s="64"/>
      <c r="E834" s="11"/>
      <c r="O834" s="52"/>
      <c r="P834" s="52"/>
    </row>
    <row r="835">
      <c r="D835" s="64"/>
      <c r="E835" s="11"/>
      <c r="O835" s="52"/>
      <c r="P835" s="52"/>
    </row>
    <row r="836">
      <c r="D836" s="64"/>
      <c r="E836" s="11"/>
      <c r="O836" s="52"/>
      <c r="P836" s="52"/>
    </row>
    <row r="837">
      <c r="D837" s="64"/>
      <c r="E837" s="11"/>
      <c r="O837" s="52"/>
      <c r="P837" s="52"/>
    </row>
    <row r="838">
      <c r="D838" s="64"/>
      <c r="E838" s="11"/>
      <c r="O838" s="52"/>
      <c r="P838" s="52"/>
    </row>
    <row r="839">
      <c r="D839" s="64"/>
      <c r="E839" s="11"/>
      <c r="O839" s="52"/>
      <c r="P839" s="52"/>
    </row>
    <row r="840">
      <c r="D840" s="64"/>
      <c r="E840" s="11"/>
      <c r="O840" s="52"/>
      <c r="P840" s="52"/>
    </row>
    <row r="841">
      <c r="D841" s="64"/>
      <c r="E841" s="11"/>
      <c r="O841" s="52"/>
      <c r="P841" s="52"/>
    </row>
    <row r="842">
      <c r="D842" s="64"/>
      <c r="E842" s="11"/>
      <c r="O842" s="52"/>
      <c r="P842" s="52"/>
    </row>
    <row r="843">
      <c r="D843" s="64"/>
      <c r="E843" s="11"/>
      <c r="O843" s="52"/>
      <c r="P843" s="52"/>
    </row>
    <row r="844">
      <c r="D844" s="64"/>
      <c r="E844" s="11"/>
      <c r="O844" s="52"/>
      <c r="P844" s="52"/>
    </row>
    <row r="845">
      <c r="D845" s="64"/>
      <c r="E845" s="11"/>
      <c r="O845" s="52"/>
      <c r="P845" s="52"/>
    </row>
    <row r="846">
      <c r="D846" s="64"/>
      <c r="E846" s="11"/>
      <c r="O846" s="52"/>
      <c r="P846" s="52"/>
    </row>
    <row r="847">
      <c r="D847" s="64"/>
      <c r="E847" s="11"/>
      <c r="O847" s="52"/>
      <c r="P847" s="52"/>
    </row>
    <row r="848">
      <c r="D848" s="64"/>
      <c r="E848" s="11"/>
      <c r="O848" s="52"/>
      <c r="P848" s="52"/>
    </row>
    <row r="849">
      <c r="D849" s="64"/>
      <c r="E849" s="11"/>
      <c r="O849" s="52"/>
      <c r="P849" s="52"/>
    </row>
    <row r="850">
      <c r="D850" s="64"/>
      <c r="E850" s="11"/>
      <c r="O850" s="52"/>
      <c r="P850" s="52"/>
    </row>
    <row r="851">
      <c r="D851" s="64"/>
      <c r="E851" s="11"/>
      <c r="O851" s="52"/>
      <c r="P851" s="52"/>
    </row>
    <row r="852">
      <c r="D852" s="64"/>
      <c r="E852" s="11"/>
      <c r="O852" s="52"/>
      <c r="P852" s="52"/>
    </row>
    <row r="853">
      <c r="D853" s="64"/>
      <c r="E853" s="11"/>
      <c r="O853" s="52"/>
      <c r="P853" s="52"/>
    </row>
    <row r="854">
      <c r="D854" s="64"/>
      <c r="E854" s="11"/>
      <c r="O854" s="52"/>
      <c r="P854" s="52"/>
    </row>
    <row r="855">
      <c r="D855" s="64"/>
      <c r="E855" s="11"/>
      <c r="O855" s="52"/>
      <c r="P855" s="52"/>
    </row>
    <row r="856">
      <c r="D856" s="64"/>
      <c r="E856" s="11"/>
      <c r="O856" s="52"/>
      <c r="P856" s="52"/>
    </row>
    <row r="857">
      <c r="D857" s="64"/>
      <c r="E857" s="11"/>
      <c r="O857" s="52"/>
      <c r="P857" s="52"/>
    </row>
    <row r="858">
      <c r="D858" s="64"/>
      <c r="E858" s="11"/>
      <c r="O858" s="52"/>
      <c r="P858" s="52"/>
    </row>
    <row r="859">
      <c r="D859" s="64"/>
      <c r="E859" s="11"/>
      <c r="O859" s="52"/>
      <c r="P859" s="52"/>
    </row>
    <row r="860">
      <c r="D860" s="64"/>
      <c r="E860" s="11"/>
      <c r="O860" s="52"/>
      <c r="P860" s="52"/>
    </row>
    <row r="861">
      <c r="D861" s="64"/>
      <c r="E861" s="11"/>
      <c r="O861" s="52"/>
      <c r="P861" s="52"/>
    </row>
    <row r="862">
      <c r="D862" s="64"/>
      <c r="E862" s="11"/>
      <c r="O862" s="52"/>
      <c r="P862" s="52"/>
    </row>
    <row r="863">
      <c r="D863" s="64"/>
      <c r="E863" s="11"/>
      <c r="O863" s="52"/>
      <c r="P863" s="52"/>
    </row>
    <row r="864">
      <c r="D864" s="64"/>
      <c r="E864" s="11"/>
      <c r="O864" s="52"/>
      <c r="P864" s="52"/>
    </row>
    <row r="865">
      <c r="D865" s="64"/>
      <c r="E865" s="11"/>
      <c r="O865" s="52"/>
      <c r="P865" s="52"/>
    </row>
    <row r="866">
      <c r="D866" s="64"/>
      <c r="E866" s="11"/>
      <c r="O866" s="52"/>
      <c r="P866" s="52"/>
    </row>
    <row r="867">
      <c r="D867" s="64"/>
      <c r="E867" s="11"/>
      <c r="O867" s="52"/>
      <c r="P867" s="52"/>
    </row>
    <row r="868">
      <c r="D868" s="64"/>
      <c r="E868" s="11"/>
      <c r="O868" s="52"/>
      <c r="P868" s="52"/>
    </row>
    <row r="869">
      <c r="D869" s="64"/>
      <c r="E869" s="11"/>
      <c r="O869" s="52"/>
      <c r="P869" s="52"/>
    </row>
    <row r="870">
      <c r="D870" s="64"/>
      <c r="E870" s="11"/>
      <c r="O870" s="52"/>
      <c r="P870" s="52"/>
    </row>
    <row r="871">
      <c r="D871" s="64"/>
      <c r="E871" s="11"/>
      <c r="O871" s="52"/>
      <c r="P871" s="52"/>
    </row>
    <row r="872">
      <c r="D872" s="64"/>
      <c r="E872" s="11"/>
      <c r="O872" s="52"/>
      <c r="P872" s="52"/>
    </row>
    <row r="873">
      <c r="D873" s="64"/>
      <c r="E873" s="11"/>
      <c r="O873" s="52"/>
      <c r="P873" s="52"/>
    </row>
    <row r="874">
      <c r="D874" s="64"/>
      <c r="E874" s="11"/>
      <c r="O874" s="52"/>
      <c r="P874" s="52"/>
    </row>
    <row r="875">
      <c r="D875" s="64"/>
      <c r="E875" s="11"/>
      <c r="O875" s="52"/>
      <c r="P875" s="52"/>
    </row>
    <row r="876">
      <c r="D876" s="64"/>
      <c r="E876" s="11"/>
      <c r="O876" s="52"/>
      <c r="P876" s="52"/>
    </row>
    <row r="877">
      <c r="D877" s="64"/>
      <c r="E877" s="11"/>
      <c r="O877" s="52"/>
      <c r="P877" s="52"/>
    </row>
    <row r="878">
      <c r="D878" s="64"/>
      <c r="E878" s="11"/>
      <c r="O878" s="52"/>
      <c r="P878" s="52"/>
    </row>
    <row r="879">
      <c r="D879" s="64"/>
      <c r="E879" s="11"/>
      <c r="O879" s="52"/>
      <c r="P879" s="52"/>
    </row>
    <row r="880">
      <c r="D880" s="64"/>
      <c r="E880" s="11"/>
      <c r="O880" s="52"/>
      <c r="P880" s="52"/>
    </row>
    <row r="881">
      <c r="D881" s="64"/>
      <c r="E881" s="11"/>
      <c r="O881" s="52"/>
      <c r="P881" s="52"/>
    </row>
    <row r="882">
      <c r="D882" s="64"/>
      <c r="E882" s="11"/>
      <c r="O882" s="52"/>
      <c r="P882" s="52"/>
    </row>
    <row r="883">
      <c r="D883" s="64"/>
      <c r="E883" s="11"/>
      <c r="O883" s="52"/>
      <c r="P883" s="52"/>
    </row>
    <row r="884">
      <c r="D884" s="64"/>
      <c r="E884" s="11"/>
      <c r="O884" s="52"/>
      <c r="P884" s="52"/>
    </row>
    <row r="885">
      <c r="D885" s="64"/>
      <c r="E885" s="11"/>
      <c r="O885" s="52"/>
      <c r="P885" s="52"/>
    </row>
    <row r="886">
      <c r="D886" s="64"/>
      <c r="E886" s="11"/>
      <c r="O886" s="52"/>
      <c r="P886" s="52"/>
    </row>
    <row r="887">
      <c r="D887" s="64"/>
      <c r="E887" s="11"/>
      <c r="O887" s="52"/>
      <c r="P887" s="52"/>
    </row>
    <row r="888">
      <c r="D888" s="64"/>
      <c r="E888" s="11"/>
      <c r="O888" s="52"/>
      <c r="P888" s="52"/>
    </row>
    <row r="889">
      <c r="D889" s="64"/>
      <c r="E889" s="11"/>
      <c r="O889" s="52"/>
      <c r="P889" s="52"/>
    </row>
    <row r="890">
      <c r="D890" s="64"/>
      <c r="E890" s="11"/>
      <c r="O890" s="52"/>
      <c r="P890" s="52"/>
    </row>
    <row r="891">
      <c r="D891" s="64"/>
      <c r="E891" s="11"/>
      <c r="O891" s="52"/>
      <c r="P891" s="52"/>
    </row>
    <row r="892">
      <c r="D892" s="64"/>
      <c r="E892" s="11"/>
      <c r="O892" s="52"/>
      <c r="P892" s="52"/>
    </row>
    <row r="893">
      <c r="D893" s="64"/>
      <c r="E893" s="11"/>
      <c r="O893" s="52"/>
      <c r="P893" s="52"/>
    </row>
    <row r="894">
      <c r="D894" s="64"/>
      <c r="E894" s="11"/>
      <c r="O894" s="52"/>
      <c r="P894" s="52"/>
    </row>
    <row r="895">
      <c r="D895" s="64"/>
      <c r="E895" s="11"/>
      <c r="O895" s="52"/>
      <c r="P895" s="52"/>
    </row>
    <row r="896">
      <c r="D896" s="64"/>
      <c r="E896" s="11"/>
      <c r="O896" s="52"/>
      <c r="P896" s="52"/>
    </row>
    <row r="897">
      <c r="D897" s="64"/>
      <c r="E897" s="11"/>
      <c r="O897" s="52"/>
      <c r="P897" s="52"/>
    </row>
    <row r="898">
      <c r="D898" s="64"/>
      <c r="E898" s="11"/>
      <c r="O898" s="52"/>
      <c r="P898" s="52"/>
    </row>
    <row r="899">
      <c r="D899" s="64"/>
      <c r="E899" s="11"/>
      <c r="O899" s="52"/>
      <c r="P899" s="52"/>
    </row>
    <row r="900">
      <c r="D900" s="64"/>
      <c r="E900" s="11"/>
      <c r="O900" s="52"/>
      <c r="P900" s="52"/>
    </row>
    <row r="901">
      <c r="D901" s="64"/>
      <c r="E901" s="11"/>
      <c r="O901" s="52"/>
      <c r="P901" s="52"/>
    </row>
    <row r="902">
      <c r="D902" s="64"/>
      <c r="E902" s="11"/>
      <c r="O902" s="52"/>
      <c r="P902" s="52"/>
    </row>
    <row r="903">
      <c r="D903" s="64"/>
      <c r="E903" s="11"/>
      <c r="O903" s="52"/>
      <c r="P903" s="52"/>
    </row>
    <row r="904">
      <c r="D904" s="64"/>
      <c r="E904" s="11"/>
      <c r="O904" s="52"/>
      <c r="P904" s="52"/>
    </row>
    <row r="905">
      <c r="D905" s="64"/>
      <c r="E905" s="11"/>
      <c r="O905" s="52"/>
      <c r="P905" s="52"/>
    </row>
    <row r="906">
      <c r="D906" s="64"/>
      <c r="E906" s="11"/>
      <c r="O906" s="52"/>
      <c r="P906" s="52"/>
    </row>
    <row r="907">
      <c r="D907" s="64"/>
      <c r="E907" s="11"/>
      <c r="O907" s="52"/>
      <c r="P907" s="52"/>
    </row>
    <row r="908">
      <c r="D908" s="64"/>
      <c r="E908" s="11"/>
      <c r="O908" s="52"/>
      <c r="P908" s="52"/>
    </row>
    <row r="909">
      <c r="D909" s="64"/>
      <c r="E909" s="11"/>
      <c r="O909" s="52"/>
      <c r="P909" s="52"/>
    </row>
    <row r="910">
      <c r="D910" s="64"/>
      <c r="E910" s="11"/>
      <c r="O910" s="52"/>
      <c r="P910" s="52"/>
    </row>
    <row r="911">
      <c r="D911" s="64"/>
      <c r="E911" s="11"/>
      <c r="O911" s="52"/>
      <c r="P911" s="52"/>
    </row>
    <row r="912">
      <c r="D912" s="64"/>
      <c r="E912" s="11"/>
      <c r="O912" s="52"/>
      <c r="P912" s="52"/>
    </row>
    <row r="913">
      <c r="D913" s="64"/>
      <c r="E913" s="11"/>
      <c r="O913" s="52"/>
      <c r="P913" s="52"/>
    </row>
    <row r="914">
      <c r="D914" s="64"/>
      <c r="E914" s="11"/>
      <c r="O914" s="52"/>
      <c r="P914" s="52"/>
    </row>
    <row r="915">
      <c r="D915" s="64"/>
      <c r="E915" s="11"/>
      <c r="O915" s="52"/>
      <c r="P915" s="52"/>
    </row>
    <row r="916">
      <c r="D916" s="64"/>
      <c r="E916" s="11"/>
      <c r="O916" s="52"/>
      <c r="P916" s="52"/>
    </row>
    <row r="917">
      <c r="D917" s="64"/>
      <c r="E917" s="11"/>
      <c r="O917" s="52"/>
      <c r="P917" s="52"/>
    </row>
    <row r="918">
      <c r="D918" s="64"/>
      <c r="E918" s="11"/>
      <c r="O918" s="52"/>
      <c r="P918" s="52"/>
    </row>
    <row r="919">
      <c r="D919" s="64"/>
      <c r="E919" s="11"/>
      <c r="O919" s="52"/>
      <c r="P919" s="52"/>
    </row>
    <row r="920">
      <c r="D920" s="64"/>
      <c r="E920" s="11"/>
      <c r="O920" s="52"/>
      <c r="P920" s="52"/>
    </row>
    <row r="921">
      <c r="D921" s="64"/>
      <c r="E921" s="11"/>
      <c r="O921" s="52"/>
      <c r="P921" s="52"/>
    </row>
    <row r="922">
      <c r="D922" s="64"/>
      <c r="E922" s="11"/>
      <c r="O922" s="52"/>
      <c r="P922" s="52"/>
    </row>
    <row r="923">
      <c r="D923" s="64"/>
      <c r="E923" s="11"/>
      <c r="O923" s="52"/>
      <c r="P923" s="52"/>
    </row>
    <row r="924">
      <c r="D924" s="64"/>
      <c r="E924" s="11"/>
      <c r="O924" s="52"/>
      <c r="P924" s="52"/>
    </row>
    <row r="925">
      <c r="D925" s="64"/>
      <c r="E925" s="11"/>
      <c r="O925" s="52"/>
      <c r="P925" s="52"/>
    </row>
    <row r="926">
      <c r="D926" s="64"/>
      <c r="E926" s="11"/>
      <c r="O926" s="52"/>
      <c r="P926" s="52"/>
    </row>
    <row r="927">
      <c r="D927" s="64"/>
      <c r="E927" s="11"/>
      <c r="O927" s="52"/>
      <c r="P927" s="52"/>
    </row>
    <row r="928">
      <c r="D928" s="64"/>
      <c r="E928" s="11"/>
      <c r="O928" s="52"/>
      <c r="P928" s="52"/>
    </row>
    <row r="929">
      <c r="D929" s="64"/>
      <c r="E929" s="11"/>
      <c r="O929" s="52"/>
      <c r="P929" s="52"/>
    </row>
    <row r="930">
      <c r="D930" s="64"/>
      <c r="E930" s="11"/>
      <c r="O930" s="52"/>
      <c r="P930" s="52"/>
    </row>
    <row r="931">
      <c r="D931" s="64"/>
      <c r="E931" s="11"/>
      <c r="O931" s="52"/>
      <c r="P931" s="52"/>
    </row>
    <row r="932">
      <c r="D932" s="64"/>
      <c r="E932" s="11"/>
      <c r="O932" s="52"/>
      <c r="P932" s="52"/>
    </row>
    <row r="933">
      <c r="D933" s="64"/>
      <c r="E933" s="11"/>
      <c r="O933" s="52"/>
      <c r="P933" s="52"/>
    </row>
    <row r="934">
      <c r="D934" s="64"/>
      <c r="E934" s="11"/>
      <c r="O934" s="52"/>
      <c r="P934" s="52"/>
    </row>
    <row r="935">
      <c r="D935" s="64"/>
      <c r="E935" s="11"/>
      <c r="O935" s="52"/>
      <c r="P935" s="52"/>
    </row>
    <row r="936">
      <c r="D936" s="64"/>
      <c r="E936" s="11"/>
      <c r="O936" s="52"/>
      <c r="P936" s="52"/>
    </row>
    <row r="937">
      <c r="D937" s="64"/>
      <c r="E937" s="11"/>
      <c r="O937" s="52"/>
      <c r="P937" s="52"/>
    </row>
    <row r="938">
      <c r="D938" s="64"/>
      <c r="E938" s="11"/>
      <c r="O938" s="52"/>
      <c r="P938" s="52"/>
    </row>
    <row r="939">
      <c r="D939" s="64"/>
      <c r="E939" s="11"/>
      <c r="O939" s="52"/>
      <c r="P939" s="52"/>
    </row>
    <row r="940">
      <c r="D940" s="64"/>
      <c r="E940" s="11"/>
      <c r="O940" s="52"/>
      <c r="P940" s="52"/>
    </row>
    <row r="941">
      <c r="D941" s="64"/>
      <c r="E941" s="11"/>
      <c r="O941" s="52"/>
      <c r="P941" s="52"/>
    </row>
    <row r="942">
      <c r="D942" s="64"/>
      <c r="E942" s="11"/>
      <c r="O942" s="52"/>
      <c r="P942" s="52"/>
    </row>
    <row r="943">
      <c r="D943" s="64"/>
      <c r="E943" s="11"/>
      <c r="O943" s="52"/>
      <c r="P943" s="52"/>
    </row>
    <row r="944">
      <c r="D944" s="64"/>
      <c r="E944" s="11"/>
      <c r="O944" s="52"/>
      <c r="P944" s="52"/>
    </row>
    <row r="945">
      <c r="D945" s="64"/>
      <c r="E945" s="11"/>
      <c r="O945" s="52"/>
      <c r="P945" s="52"/>
    </row>
    <row r="946">
      <c r="D946" s="64"/>
      <c r="E946" s="11"/>
      <c r="O946" s="52"/>
      <c r="P946" s="52"/>
    </row>
    <row r="947">
      <c r="D947" s="64"/>
      <c r="E947" s="11"/>
      <c r="O947" s="52"/>
      <c r="P947" s="52"/>
    </row>
    <row r="948">
      <c r="D948" s="64"/>
      <c r="E948" s="11"/>
      <c r="O948" s="52"/>
      <c r="P948" s="52"/>
    </row>
    <row r="949">
      <c r="D949" s="64"/>
      <c r="E949" s="11"/>
      <c r="O949" s="52"/>
      <c r="P949" s="52"/>
    </row>
    <row r="950">
      <c r="D950" s="64"/>
      <c r="E950" s="11"/>
      <c r="O950" s="52"/>
      <c r="P950" s="52"/>
    </row>
    <row r="951">
      <c r="D951" s="64"/>
      <c r="E951" s="11"/>
      <c r="O951" s="52"/>
      <c r="P951" s="52"/>
    </row>
    <row r="952">
      <c r="D952" s="64"/>
      <c r="E952" s="11"/>
      <c r="O952" s="52"/>
      <c r="P952" s="52"/>
    </row>
    <row r="953">
      <c r="D953" s="64"/>
      <c r="E953" s="11"/>
      <c r="O953" s="52"/>
      <c r="P953" s="52"/>
    </row>
    <row r="954">
      <c r="D954" s="64"/>
      <c r="E954" s="11"/>
      <c r="O954" s="52"/>
      <c r="P954" s="52"/>
    </row>
    <row r="955">
      <c r="D955" s="64"/>
      <c r="E955" s="11"/>
      <c r="O955" s="52"/>
      <c r="P955" s="52"/>
    </row>
    <row r="956">
      <c r="D956" s="64"/>
      <c r="E956" s="11"/>
      <c r="O956" s="52"/>
      <c r="P956" s="52"/>
    </row>
    <row r="957">
      <c r="D957" s="64"/>
      <c r="E957" s="11"/>
      <c r="O957" s="52"/>
      <c r="P957" s="52"/>
    </row>
    <row r="958">
      <c r="D958" s="64"/>
      <c r="E958" s="11"/>
      <c r="O958" s="52"/>
      <c r="P958" s="52"/>
    </row>
    <row r="959">
      <c r="D959" s="64"/>
      <c r="E959" s="11"/>
      <c r="O959" s="52"/>
      <c r="P959" s="52"/>
    </row>
    <row r="960">
      <c r="D960" s="64"/>
      <c r="E960" s="11"/>
      <c r="O960" s="52"/>
      <c r="P960" s="52"/>
    </row>
    <row r="961">
      <c r="D961" s="64"/>
      <c r="E961" s="11"/>
      <c r="O961" s="52"/>
      <c r="P961" s="52"/>
    </row>
    <row r="962">
      <c r="D962" s="64"/>
      <c r="E962" s="11"/>
      <c r="O962" s="52"/>
      <c r="P962" s="52"/>
    </row>
    <row r="963">
      <c r="D963" s="64"/>
      <c r="E963" s="11"/>
      <c r="O963" s="52"/>
      <c r="P963" s="52"/>
    </row>
    <row r="964">
      <c r="D964" s="64"/>
      <c r="E964" s="11"/>
      <c r="O964" s="52"/>
      <c r="P964" s="52"/>
    </row>
    <row r="965">
      <c r="D965" s="64"/>
      <c r="E965" s="11"/>
      <c r="O965" s="52"/>
      <c r="P965" s="52"/>
    </row>
    <row r="966">
      <c r="D966" s="64"/>
      <c r="E966" s="11"/>
      <c r="O966" s="52"/>
      <c r="P966" s="52"/>
    </row>
    <row r="967">
      <c r="D967" s="64"/>
      <c r="E967" s="11"/>
      <c r="O967" s="52"/>
      <c r="P967" s="52"/>
    </row>
    <row r="968">
      <c r="D968" s="64"/>
      <c r="E968" s="11"/>
      <c r="O968" s="52"/>
      <c r="P968" s="52"/>
    </row>
    <row r="969">
      <c r="D969" s="64"/>
      <c r="E969" s="11"/>
      <c r="O969" s="52"/>
      <c r="P969" s="52"/>
    </row>
    <row r="970">
      <c r="D970" s="64"/>
      <c r="E970" s="11"/>
      <c r="O970" s="52"/>
      <c r="P970" s="52"/>
    </row>
    <row r="971">
      <c r="D971" s="64"/>
      <c r="E971" s="11"/>
      <c r="O971" s="52"/>
      <c r="P971" s="52"/>
    </row>
    <row r="972">
      <c r="D972" s="64"/>
      <c r="E972" s="11"/>
      <c r="O972" s="52"/>
      <c r="P972" s="52"/>
    </row>
    <row r="973">
      <c r="D973" s="64"/>
      <c r="E973" s="11"/>
      <c r="O973" s="52"/>
      <c r="P973" s="52"/>
    </row>
    <row r="974">
      <c r="D974" s="64"/>
      <c r="E974" s="11"/>
      <c r="O974" s="52"/>
      <c r="P974" s="52"/>
    </row>
    <row r="975">
      <c r="D975" s="64"/>
      <c r="E975" s="11"/>
      <c r="O975" s="52"/>
      <c r="P975" s="52"/>
    </row>
    <row r="976">
      <c r="D976" s="64"/>
      <c r="E976" s="11"/>
      <c r="O976" s="52"/>
      <c r="P976" s="52"/>
    </row>
    <row r="977">
      <c r="D977" s="64"/>
      <c r="E977" s="11"/>
      <c r="O977" s="52"/>
      <c r="P977" s="52"/>
    </row>
    <row r="978">
      <c r="D978" s="64"/>
      <c r="E978" s="11"/>
      <c r="O978" s="52"/>
      <c r="P978" s="52"/>
    </row>
    <row r="979">
      <c r="D979" s="64"/>
      <c r="E979" s="11"/>
      <c r="O979" s="52"/>
      <c r="P979" s="52"/>
    </row>
    <row r="980">
      <c r="D980" s="64"/>
      <c r="E980" s="11"/>
      <c r="O980" s="52"/>
      <c r="P980" s="52"/>
    </row>
    <row r="981">
      <c r="D981" s="64"/>
      <c r="E981" s="11"/>
      <c r="O981" s="52"/>
      <c r="P981" s="52"/>
    </row>
    <row r="982">
      <c r="D982" s="64"/>
      <c r="E982" s="11"/>
      <c r="O982" s="52"/>
      <c r="P982" s="52"/>
    </row>
    <row r="983">
      <c r="D983" s="64"/>
      <c r="E983" s="11"/>
      <c r="O983" s="52"/>
      <c r="P983" s="52"/>
    </row>
    <row r="984">
      <c r="D984" s="64"/>
      <c r="E984" s="11"/>
      <c r="O984" s="52"/>
      <c r="P984" s="52"/>
    </row>
    <row r="985">
      <c r="D985" s="64"/>
      <c r="E985" s="11"/>
      <c r="O985" s="52"/>
      <c r="P985" s="52"/>
    </row>
    <row r="986">
      <c r="D986" s="64"/>
      <c r="E986" s="11"/>
      <c r="O986" s="52"/>
      <c r="P986" s="52"/>
    </row>
    <row r="987">
      <c r="D987" s="64"/>
      <c r="E987" s="11"/>
      <c r="O987" s="52"/>
      <c r="P987" s="52"/>
    </row>
    <row r="988">
      <c r="D988" s="64"/>
      <c r="E988" s="11"/>
      <c r="O988" s="52"/>
      <c r="P988" s="52"/>
    </row>
    <row r="989">
      <c r="D989" s="64"/>
      <c r="E989" s="11"/>
      <c r="O989" s="52"/>
      <c r="P989" s="52"/>
    </row>
    <row r="990">
      <c r="D990" s="64"/>
      <c r="E990" s="11"/>
      <c r="O990" s="52"/>
      <c r="P990" s="52"/>
    </row>
    <row r="991">
      <c r="D991" s="64"/>
      <c r="E991" s="11"/>
      <c r="O991" s="52"/>
      <c r="P991" s="52"/>
    </row>
    <row r="992">
      <c r="D992" s="64"/>
      <c r="E992" s="11"/>
      <c r="O992" s="52"/>
      <c r="P992" s="52"/>
    </row>
    <row r="993">
      <c r="D993" s="64"/>
      <c r="E993" s="11"/>
      <c r="O993" s="52"/>
      <c r="P993" s="52"/>
    </row>
    <row r="994">
      <c r="D994" s="64"/>
      <c r="E994" s="11"/>
      <c r="O994" s="52"/>
      <c r="P994" s="52"/>
    </row>
    <row r="995">
      <c r="D995" s="64"/>
      <c r="E995" s="11"/>
      <c r="O995" s="52"/>
      <c r="P995" s="52"/>
    </row>
    <row r="996">
      <c r="D996" s="64"/>
      <c r="E996" s="11"/>
      <c r="O996" s="52"/>
      <c r="P996" s="52"/>
    </row>
    <row r="997">
      <c r="D997" s="64"/>
      <c r="E997" s="11"/>
      <c r="O997" s="52"/>
      <c r="P997" s="52"/>
    </row>
    <row r="998">
      <c r="D998" s="64"/>
      <c r="E998" s="11"/>
      <c r="O998" s="52"/>
      <c r="P998" s="52"/>
    </row>
    <row r="999">
      <c r="D999" s="64"/>
      <c r="E999" s="11"/>
      <c r="O999" s="52"/>
      <c r="P999" s="52"/>
    </row>
    <row r="1000">
      <c r="D1000" s="64"/>
      <c r="E1000" s="11"/>
      <c r="O1000" s="52"/>
      <c r="P1000" s="52"/>
    </row>
    <row r="1001">
      <c r="D1001" s="64"/>
      <c r="E1001" s="11"/>
      <c r="O1001" s="52"/>
      <c r="P1001" s="52"/>
    </row>
    <row r="1002">
      <c r="D1002" s="64"/>
      <c r="E1002" s="11"/>
      <c r="O1002" s="52"/>
      <c r="P1002" s="52"/>
    </row>
    <row r="1003">
      <c r="D1003" s="64"/>
      <c r="E1003" s="11"/>
      <c r="O1003" s="52"/>
      <c r="P1003" s="52"/>
    </row>
    <row r="1004">
      <c r="D1004" s="64"/>
      <c r="E1004" s="11"/>
      <c r="O1004" s="52"/>
      <c r="P1004" s="52"/>
    </row>
    <row r="1005">
      <c r="D1005" s="64"/>
      <c r="E1005" s="11"/>
      <c r="O1005" s="52"/>
      <c r="P1005" s="52"/>
    </row>
    <row r="1006">
      <c r="D1006" s="64"/>
      <c r="E1006" s="11"/>
      <c r="O1006" s="52"/>
      <c r="P1006" s="52"/>
    </row>
    <row r="1007">
      <c r="D1007" s="64"/>
      <c r="E1007" s="11"/>
      <c r="O1007" s="52"/>
      <c r="P1007" s="52"/>
    </row>
    <row r="1008">
      <c r="D1008" s="64"/>
      <c r="E1008" s="11"/>
      <c r="O1008" s="52"/>
      <c r="P1008" s="52"/>
    </row>
    <row r="1009">
      <c r="D1009" s="64"/>
      <c r="E1009" s="11"/>
      <c r="O1009" s="52"/>
      <c r="P1009" s="52"/>
    </row>
    <row r="1010">
      <c r="D1010" s="64"/>
      <c r="E1010" s="11"/>
      <c r="O1010" s="52"/>
      <c r="P1010" s="52"/>
    </row>
    <row r="1011">
      <c r="D1011" s="64"/>
      <c r="E1011" s="11"/>
      <c r="O1011" s="52"/>
      <c r="P1011" s="52"/>
    </row>
    <row r="1012">
      <c r="D1012" s="64"/>
      <c r="E1012" s="11"/>
      <c r="O1012" s="52"/>
      <c r="P1012" s="52"/>
    </row>
    <row r="1013">
      <c r="D1013" s="64"/>
      <c r="E1013" s="11"/>
      <c r="O1013" s="52"/>
      <c r="P1013" s="52"/>
    </row>
    <row r="1014">
      <c r="D1014" s="64"/>
      <c r="E1014" s="11"/>
      <c r="O1014" s="52"/>
      <c r="P1014" s="52"/>
    </row>
    <row r="1015">
      <c r="D1015" s="64"/>
      <c r="E1015" s="11"/>
      <c r="O1015" s="52"/>
      <c r="P1015" s="52"/>
    </row>
    <row r="1016">
      <c r="D1016" s="64"/>
      <c r="E1016" s="11"/>
      <c r="O1016" s="52"/>
      <c r="P1016" s="52"/>
    </row>
    <row r="1017">
      <c r="D1017" s="64"/>
      <c r="E1017" s="11"/>
      <c r="O1017" s="52"/>
      <c r="P1017" s="52"/>
    </row>
    <row r="1018">
      <c r="D1018" s="64"/>
      <c r="E1018" s="11"/>
      <c r="O1018" s="52"/>
      <c r="P1018" s="52"/>
    </row>
    <row r="1019">
      <c r="D1019" s="64"/>
      <c r="E1019" s="11"/>
      <c r="O1019" s="52"/>
      <c r="P1019" s="52"/>
    </row>
    <row r="1020">
      <c r="D1020" s="64"/>
      <c r="E1020" s="11"/>
      <c r="O1020" s="52"/>
      <c r="P1020" s="52"/>
    </row>
    <row r="1021">
      <c r="D1021" s="64"/>
      <c r="E1021" s="11"/>
      <c r="O1021" s="52"/>
      <c r="P1021" s="52"/>
    </row>
    <row r="1022">
      <c r="D1022" s="64"/>
      <c r="E1022" s="11"/>
      <c r="O1022" s="52"/>
      <c r="P1022" s="52"/>
    </row>
    <row r="1023">
      <c r="D1023" s="64"/>
      <c r="E1023" s="11"/>
      <c r="O1023" s="52"/>
      <c r="P1023" s="52"/>
    </row>
    <row r="1024">
      <c r="D1024" s="64"/>
      <c r="E1024" s="11"/>
      <c r="O1024" s="52"/>
      <c r="P1024" s="52"/>
    </row>
    <row r="1025">
      <c r="D1025" s="64"/>
      <c r="E1025" s="11"/>
      <c r="O1025" s="52"/>
      <c r="P1025" s="52"/>
    </row>
    <row r="1026">
      <c r="D1026" s="64"/>
      <c r="E1026" s="11"/>
      <c r="O1026" s="52"/>
      <c r="P1026" s="52"/>
    </row>
    <row r="1027">
      <c r="D1027" s="64"/>
      <c r="E1027" s="11"/>
      <c r="O1027" s="52"/>
      <c r="P1027" s="52"/>
    </row>
    <row r="1028">
      <c r="D1028" s="64"/>
      <c r="E1028" s="11"/>
      <c r="O1028" s="52"/>
      <c r="P1028" s="52"/>
    </row>
    <row r="1029">
      <c r="D1029" s="64"/>
      <c r="E1029" s="11"/>
      <c r="O1029" s="52"/>
      <c r="P1029" s="52"/>
    </row>
    <row r="1030">
      <c r="D1030" s="64"/>
      <c r="E1030" s="11"/>
      <c r="O1030" s="52"/>
      <c r="P1030" s="52"/>
    </row>
    <row r="1031">
      <c r="D1031" s="64"/>
      <c r="E1031" s="11"/>
      <c r="O1031" s="52"/>
      <c r="P1031" s="52"/>
    </row>
    <row r="1032">
      <c r="D1032" s="64"/>
      <c r="E1032" s="11"/>
      <c r="O1032" s="52"/>
      <c r="P1032" s="52"/>
    </row>
    <row r="1033">
      <c r="D1033" s="64"/>
      <c r="E1033" s="11"/>
      <c r="O1033" s="52"/>
      <c r="P1033" s="52"/>
    </row>
    <row r="1034">
      <c r="D1034" s="64"/>
      <c r="E1034" s="11"/>
      <c r="O1034" s="52"/>
      <c r="P1034" s="52"/>
    </row>
    <row r="1035">
      <c r="D1035" s="64"/>
      <c r="E1035" s="11"/>
      <c r="O1035" s="52"/>
      <c r="P1035" s="52"/>
    </row>
    <row r="1036">
      <c r="D1036" s="64"/>
      <c r="E1036" s="11"/>
      <c r="O1036" s="52"/>
      <c r="P1036" s="52"/>
    </row>
    <row r="1037">
      <c r="D1037" s="64"/>
      <c r="E1037" s="11"/>
      <c r="O1037" s="52"/>
      <c r="P1037" s="52"/>
    </row>
    <row r="1038">
      <c r="D1038" s="64"/>
      <c r="E1038" s="11"/>
      <c r="O1038" s="52"/>
      <c r="P1038" s="52"/>
    </row>
    <row r="1039">
      <c r="D1039" s="64"/>
      <c r="E1039" s="11"/>
      <c r="O1039" s="52"/>
      <c r="P1039" s="52"/>
    </row>
    <row r="1040">
      <c r="D1040" s="64"/>
      <c r="E1040" s="11"/>
      <c r="O1040" s="52"/>
      <c r="P1040" s="52"/>
    </row>
    <row r="1041">
      <c r="D1041" s="64"/>
      <c r="E1041" s="11"/>
      <c r="O1041" s="52"/>
      <c r="P1041" s="52"/>
    </row>
    <row r="1042">
      <c r="D1042" s="64"/>
      <c r="E1042" s="11"/>
      <c r="O1042" s="52"/>
      <c r="P1042" s="52"/>
    </row>
    <row r="1043">
      <c r="D1043" s="64"/>
      <c r="E1043" s="11"/>
      <c r="O1043" s="52"/>
      <c r="P1043" s="52"/>
    </row>
    <row r="1044">
      <c r="D1044" s="64"/>
      <c r="E1044" s="11"/>
      <c r="O1044" s="52"/>
      <c r="P1044" s="52"/>
    </row>
    <row r="1045">
      <c r="D1045" s="64"/>
      <c r="E1045" s="11"/>
      <c r="O1045" s="52"/>
      <c r="P1045" s="5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1755</v>
      </c>
      <c r="C1" s="70"/>
      <c r="D1" s="70"/>
      <c r="E1" s="52"/>
    </row>
    <row r="2">
      <c r="A2" s="71"/>
      <c r="B2" s="4" t="s">
        <v>1352</v>
      </c>
      <c r="C2" s="70"/>
      <c r="D2" s="70"/>
      <c r="E2" s="52"/>
    </row>
    <row r="3">
      <c r="A3" s="69" t="s">
        <v>0</v>
      </c>
      <c r="B3" s="4" t="s">
        <v>1756</v>
      </c>
      <c r="C3" s="6" t="s">
        <v>1757</v>
      </c>
      <c r="D3" s="6" t="s">
        <v>1758</v>
      </c>
      <c r="E3" s="50" t="s">
        <v>1759</v>
      </c>
    </row>
    <row r="4">
      <c r="A4" s="69">
        <v>45261.0</v>
      </c>
      <c r="C4" s="70"/>
      <c r="D4" s="70"/>
      <c r="E4" s="52"/>
    </row>
    <row r="5">
      <c r="A5" s="69">
        <v>45262.0</v>
      </c>
      <c r="C5" s="70"/>
      <c r="D5" s="70"/>
      <c r="E5" s="52"/>
    </row>
    <row r="6">
      <c r="A6" s="69">
        <v>45263.0</v>
      </c>
      <c r="C6" s="70"/>
      <c r="D6" s="70"/>
      <c r="E6" s="52"/>
    </row>
    <row r="7">
      <c r="A7" s="69">
        <v>45264.0</v>
      </c>
      <c r="B7" s="4">
        <v>2830.0</v>
      </c>
      <c r="C7" s="6"/>
      <c r="D7" s="6"/>
      <c r="E7" s="50">
        <v>57.0</v>
      </c>
    </row>
    <row r="8">
      <c r="A8" s="69">
        <v>45265.0</v>
      </c>
      <c r="B8" s="4">
        <v>2520.0</v>
      </c>
      <c r="C8" s="6"/>
      <c r="D8" s="6"/>
      <c r="E8" s="50">
        <v>46.0</v>
      </c>
    </row>
    <row r="9">
      <c r="A9" s="69">
        <v>45266.0</v>
      </c>
      <c r="B9" s="4">
        <v>2790.0</v>
      </c>
      <c r="C9" s="6"/>
      <c r="D9" s="6"/>
      <c r="E9" s="50">
        <v>54.0</v>
      </c>
    </row>
    <row r="10">
      <c r="A10" s="69">
        <v>45267.0</v>
      </c>
      <c r="B10" s="4">
        <v>3740.0</v>
      </c>
      <c r="C10" s="6"/>
      <c r="D10" s="6"/>
      <c r="E10" s="50">
        <v>44.0</v>
      </c>
    </row>
    <row r="11">
      <c r="A11" s="69">
        <v>45268.0</v>
      </c>
      <c r="B11" s="4">
        <v>3480.0</v>
      </c>
      <c r="C11" s="6"/>
      <c r="D11" s="6"/>
      <c r="E11" s="50">
        <v>52.0</v>
      </c>
    </row>
    <row r="12">
      <c r="A12" s="69">
        <v>45269.0</v>
      </c>
      <c r="C12" s="70"/>
      <c r="D12" s="70"/>
      <c r="E12" s="52"/>
    </row>
    <row r="13">
      <c r="A13" s="69">
        <v>45270.0</v>
      </c>
      <c r="C13" s="70"/>
      <c r="D13" s="70"/>
      <c r="E13" s="52"/>
    </row>
    <row r="14">
      <c r="A14" s="69">
        <v>45271.0</v>
      </c>
      <c r="B14" s="4">
        <v>3130.0</v>
      </c>
      <c r="C14" s="6"/>
      <c r="D14" s="6"/>
      <c r="E14" s="50">
        <v>42.0</v>
      </c>
    </row>
    <row r="15">
      <c r="A15" s="69">
        <v>45272.0</v>
      </c>
      <c r="B15" s="4">
        <v>3130.0</v>
      </c>
      <c r="C15" s="6"/>
      <c r="D15" s="6"/>
      <c r="E15" s="50">
        <v>46.0</v>
      </c>
    </row>
    <row r="16">
      <c r="A16" s="69">
        <v>45273.0</v>
      </c>
      <c r="B16" s="4">
        <v>3440.0</v>
      </c>
      <c r="C16" s="6"/>
      <c r="D16" s="6"/>
      <c r="E16" s="50">
        <v>43.0</v>
      </c>
    </row>
    <row r="17">
      <c r="A17" s="69">
        <v>45274.0</v>
      </c>
      <c r="B17" s="4">
        <v>3430.0</v>
      </c>
      <c r="C17" s="6"/>
      <c r="D17" s="6"/>
      <c r="E17" s="50">
        <v>52.0</v>
      </c>
    </row>
    <row r="18">
      <c r="A18" s="69">
        <v>45275.0</v>
      </c>
      <c r="B18" s="4">
        <v>3370.0</v>
      </c>
      <c r="C18" s="6"/>
      <c r="D18" s="6"/>
      <c r="E18" s="50">
        <v>57.0</v>
      </c>
    </row>
    <row r="19">
      <c r="A19" s="69">
        <v>45276.0</v>
      </c>
      <c r="C19" s="70"/>
      <c r="D19" s="70"/>
      <c r="E19" s="52"/>
    </row>
    <row r="20">
      <c r="A20" s="69">
        <v>45277.0</v>
      </c>
      <c r="C20" s="70"/>
      <c r="D20" s="70"/>
      <c r="E20" s="52"/>
    </row>
    <row r="21">
      <c r="A21" s="69">
        <v>45278.0</v>
      </c>
      <c r="C21" s="70"/>
      <c r="D21" s="70"/>
      <c r="E21" s="52"/>
    </row>
    <row r="22">
      <c r="A22" s="69">
        <v>45279.0</v>
      </c>
      <c r="B22" s="4">
        <v>3100.0</v>
      </c>
      <c r="C22" s="6"/>
      <c r="D22" s="6"/>
      <c r="E22" s="50">
        <v>46.0</v>
      </c>
    </row>
    <row r="23">
      <c r="A23" s="69">
        <v>45280.0</v>
      </c>
      <c r="B23" s="4">
        <v>3340.0</v>
      </c>
      <c r="C23" s="6"/>
      <c r="D23" s="6"/>
      <c r="E23" s="50">
        <v>62.0</v>
      </c>
    </row>
    <row r="24">
      <c r="A24" s="69">
        <v>45281.0</v>
      </c>
      <c r="B24" s="4">
        <v>2350.0</v>
      </c>
      <c r="C24" s="6"/>
      <c r="D24" s="6"/>
      <c r="E24" s="50">
        <v>55.0</v>
      </c>
    </row>
    <row r="25">
      <c r="A25" s="69">
        <v>45282.0</v>
      </c>
      <c r="B25" s="4">
        <v>3310.0</v>
      </c>
      <c r="C25" s="6"/>
      <c r="D25" s="6"/>
      <c r="E25" s="50">
        <v>60.0</v>
      </c>
    </row>
    <row r="26">
      <c r="A26" s="69">
        <v>45283.0</v>
      </c>
      <c r="C26" s="70"/>
      <c r="D26" s="70"/>
      <c r="E26" s="52"/>
    </row>
    <row r="27">
      <c r="A27" s="69">
        <v>45284.0</v>
      </c>
      <c r="C27" s="70"/>
      <c r="D27" s="70"/>
      <c r="E27" s="52"/>
    </row>
    <row r="28">
      <c r="A28" s="69">
        <v>45285.0</v>
      </c>
      <c r="C28" s="70"/>
      <c r="D28" s="70"/>
      <c r="E28" s="52"/>
    </row>
    <row r="29">
      <c r="A29" s="69">
        <v>45286.0</v>
      </c>
      <c r="C29" s="70"/>
      <c r="D29" s="70"/>
      <c r="E29" s="52"/>
    </row>
    <row r="30">
      <c r="A30" s="69">
        <v>45287.0</v>
      </c>
      <c r="C30" s="70"/>
      <c r="D30" s="70"/>
      <c r="E30" s="52"/>
    </row>
    <row r="31">
      <c r="A31" s="69">
        <v>45288.0</v>
      </c>
      <c r="C31" s="70"/>
      <c r="D31" s="70"/>
      <c r="E31" s="52"/>
    </row>
    <row r="32">
      <c r="A32" s="69">
        <v>45289.0</v>
      </c>
      <c r="C32" s="70"/>
      <c r="D32" s="70"/>
      <c r="E32" s="52"/>
    </row>
    <row r="33">
      <c r="A33" s="69">
        <v>45290.0</v>
      </c>
      <c r="C33" s="70"/>
      <c r="D33" s="70"/>
      <c r="E33" s="52"/>
    </row>
    <row r="34">
      <c r="A34" s="69">
        <v>45291.0</v>
      </c>
      <c r="C34" s="70"/>
      <c r="D34" s="70"/>
      <c r="E34" s="52"/>
    </row>
    <row r="35">
      <c r="A35" s="69">
        <v>45292.0</v>
      </c>
      <c r="B35" s="72"/>
      <c r="C35" s="70"/>
      <c r="D35" s="70"/>
      <c r="E35" s="52"/>
    </row>
    <row r="36">
      <c r="A36" s="69">
        <v>45293.0</v>
      </c>
      <c r="B36" s="4">
        <v>3190.0</v>
      </c>
      <c r="C36" s="6"/>
      <c r="D36" s="6"/>
      <c r="E36" s="50">
        <v>52.0</v>
      </c>
    </row>
    <row r="37">
      <c r="A37" s="69">
        <v>45294.0</v>
      </c>
      <c r="B37" s="4">
        <v>2600.0</v>
      </c>
      <c r="C37" s="6"/>
      <c r="D37" s="6"/>
      <c r="E37" s="50">
        <v>43.0</v>
      </c>
    </row>
    <row r="38">
      <c r="A38" s="69">
        <v>45295.0</v>
      </c>
      <c r="B38" s="4">
        <v>3430.0</v>
      </c>
      <c r="C38" s="6"/>
      <c r="D38" s="6"/>
      <c r="E38" s="50">
        <v>51.0</v>
      </c>
    </row>
    <row r="39">
      <c r="A39" s="69">
        <v>45296.0</v>
      </c>
      <c r="B39" s="4">
        <v>3320.0</v>
      </c>
      <c r="C39" s="6"/>
      <c r="D39" s="6"/>
      <c r="E39" s="50">
        <v>54.0</v>
      </c>
    </row>
    <row r="40">
      <c r="A40" s="69">
        <v>45297.0</v>
      </c>
      <c r="C40" s="70"/>
      <c r="D40" s="70"/>
      <c r="E40" s="52"/>
    </row>
    <row r="41">
      <c r="A41" s="69">
        <v>45298.0</v>
      </c>
      <c r="C41" s="70"/>
      <c r="D41" s="70"/>
      <c r="E41" s="52"/>
    </row>
    <row r="42">
      <c r="A42" s="69">
        <v>45299.0</v>
      </c>
      <c r="B42" s="4">
        <v>2710.0</v>
      </c>
      <c r="C42" s="70"/>
      <c r="D42" s="70"/>
      <c r="E42" s="52"/>
    </row>
    <row r="43">
      <c r="A43" s="69">
        <v>45300.0</v>
      </c>
      <c r="B43" s="4">
        <v>3440.0</v>
      </c>
      <c r="C43" s="70"/>
      <c r="D43" s="70"/>
      <c r="E43" s="52"/>
    </row>
    <row r="44">
      <c r="A44" s="69">
        <v>45301.0</v>
      </c>
      <c r="B44" s="4">
        <v>3440.0</v>
      </c>
      <c r="C44" s="70"/>
      <c r="D44" s="70"/>
      <c r="E44" s="52"/>
    </row>
    <row r="45">
      <c r="A45" s="69">
        <v>45302.0</v>
      </c>
      <c r="B45" s="4">
        <v>3430.0</v>
      </c>
      <c r="C45" s="70"/>
      <c r="D45" s="70"/>
      <c r="E45" s="52"/>
    </row>
    <row r="46">
      <c r="A46" s="69">
        <v>45303.0</v>
      </c>
      <c r="B46" s="4">
        <v>3400.0</v>
      </c>
      <c r="C46" s="70"/>
      <c r="D46" s="70"/>
      <c r="E46" s="52"/>
    </row>
    <row r="47">
      <c r="A47" s="69">
        <v>45304.0</v>
      </c>
      <c r="C47" s="70"/>
      <c r="D47" s="70"/>
      <c r="E47" s="52"/>
    </row>
    <row r="48">
      <c r="A48" s="69">
        <v>45305.0</v>
      </c>
      <c r="C48" s="70"/>
      <c r="D48" s="70"/>
      <c r="E48" s="52"/>
    </row>
    <row r="49">
      <c r="A49" s="69">
        <v>45306.0</v>
      </c>
      <c r="C49" s="70"/>
      <c r="D49" s="70"/>
      <c r="E49" s="52"/>
    </row>
    <row r="50">
      <c r="A50" s="69">
        <v>45307.0</v>
      </c>
      <c r="B50" s="4">
        <v>2990.0</v>
      </c>
      <c r="C50" s="6"/>
      <c r="D50" s="6"/>
      <c r="E50" s="50">
        <v>42.0</v>
      </c>
    </row>
    <row r="51">
      <c r="A51" s="69">
        <v>45308.0</v>
      </c>
      <c r="B51" s="4">
        <v>3030.0</v>
      </c>
      <c r="C51" s="6"/>
      <c r="D51" s="6"/>
      <c r="E51" s="50">
        <v>41.0</v>
      </c>
    </row>
    <row r="52">
      <c r="A52" s="69">
        <v>45309.0</v>
      </c>
      <c r="B52" s="4">
        <v>2890.0</v>
      </c>
      <c r="C52" s="6"/>
      <c r="D52" s="6"/>
      <c r="E52" s="50">
        <v>47.0</v>
      </c>
    </row>
    <row r="53">
      <c r="A53" s="69">
        <v>45310.0</v>
      </c>
      <c r="B53" s="4">
        <v>3250.0</v>
      </c>
      <c r="C53" s="6"/>
      <c r="D53" s="6"/>
      <c r="E53" s="50">
        <v>54.0</v>
      </c>
    </row>
    <row r="54">
      <c r="A54" s="69">
        <v>45311.0</v>
      </c>
      <c r="C54" s="70"/>
      <c r="D54" s="70"/>
      <c r="E54" s="52"/>
    </row>
    <row r="55">
      <c r="A55" s="69">
        <v>45312.0</v>
      </c>
      <c r="C55" s="70"/>
      <c r="D55" s="70"/>
      <c r="E55" s="52"/>
    </row>
    <row r="56">
      <c r="A56" s="73">
        <v>45313.0</v>
      </c>
      <c r="B56" s="74"/>
      <c r="C56" s="75"/>
      <c r="D56" s="75"/>
      <c r="E56" s="76"/>
    </row>
    <row r="57">
      <c r="A57" s="69">
        <v>45314.0</v>
      </c>
      <c r="B57" s="4">
        <v>3410.0</v>
      </c>
      <c r="C57" s="6"/>
      <c r="D57" s="6"/>
      <c r="E57" s="50">
        <v>59.0</v>
      </c>
    </row>
    <row r="58">
      <c r="A58" s="69">
        <v>45315.0</v>
      </c>
      <c r="B58" s="4">
        <v>3020.0</v>
      </c>
      <c r="C58" s="6"/>
      <c r="D58" s="6"/>
      <c r="E58" s="50">
        <v>50.0</v>
      </c>
    </row>
    <row r="59">
      <c r="A59" s="69">
        <v>45316.0</v>
      </c>
      <c r="B59" s="4">
        <v>3110.0</v>
      </c>
      <c r="C59" s="6"/>
      <c r="D59" s="6"/>
      <c r="E59" s="50">
        <v>58.0</v>
      </c>
    </row>
    <row r="60">
      <c r="A60" s="69">
        <v>45317.0</v>
      </c>
      <c r="B60" s="4">
        <v>3510.0</v>
      </c>
      <c r="C60" s="6"/>
      <c r="D60" s="6"/>
      <c r="E60" s="50">
        <v>55.0</v>
      </c>
    </row>
    <row r="61">
      <c r="A61" s="69">
        <v>45318.0</v>
      </c>
      <c r="C61" s="70"/>
      <c r="D61" s="70"/>
      <c r="E61" s="52"/>
    </row>
    <row r="62">
      <c r="A62" s="69">
        <v>45319.0</v>
      </c>
      <c r="C62" s="70"/>
      <c r="D62" s="70"/>
      <c r="E62" s="52"/>
    </row>
    <row r="63">
      <c r="A63" s="69">
        <v>45320.0</v>
      </c>
      <c r="B63" s="4">
        <v>3530.0</v>
      </c>
      <c r="C63" s="6"/>
      <c r="D63" s="6"/>
      <c r="E63" s="50">
        <v>50.0</v>
      </c>
    </row>
    <row r="64">
      <c r="A64" s="69">
        <v>45321.0</v>
      </c>
      <c r="B64" s="4">
        <v>3400.0</v>
      </c>
      <c r="C64" s="6"/>
      <c r="D64" s="6"/>
      <c r="E64" s="50">
        <v>64.0</v>
      </c>
    </row>
    <row r="65">
      <c r="A65" s="69">
        <v>45322.0</v>
      </c>
      <c r="B65" s="4">
        <v>3500.0</v>
      </c>
      <c r="C65" s="6"/>
      <c r="D65" s="6"/>
      <c r="E65" s="50">
        <v>59.0</v>
      </c>
    </row>
    <row r="66">
      <c r="A66" s="69">
        <v>45323.0</v>
      </c>
      <c r="B66" s="4">
        <v>3530.0</v>
      </c>
      <c r="C66" s="6"/>
      <c r="D66" s="6"/>
      <c r="E66" s="50">
        <v>62.0</v>
      </c>
    </row>
    <row r="67">
      <c r="A67" s="69">
        <v>45324.0</v>
      </c>
      <c r="B67" s="4">
        <v>3400.0</v>
      </c>
      <c r="C67" s="6"/>
      <c r="D67" s="6"/>
      <c r="E67" s="50">
        <v>69.0</v>
      </c>
    </row>
    <row r="68">
      <c r="A68" s="69">
        <v>45325.0</v>
      </c>
      <c r="C68" s="70"/>
      <c r="D68" s="70"/>
      <c r="E68" s="52"/>
    </row>
    <row r="69">
      <c r="A69" s="69">
        <v>45326.0</v>
      </c>
      <c r="C69" s="70"/>
      <c r="D69" s="70"/>
      <c r="E69" s="52"/>
    </row>
    <row r="70">
      <c r="A70" s="73">
        <v>45327.0</v>
      </c>
      <c r="B70" s="74"/>
      <c r="C70" s="75"/>
      <c r="D70" s="75"/>
      <c r="E70" s="76"/>
    </row>
    <row r="71">
      <c r="A71" s="69">
        <v>45328.0</v>
      </c>
      <c r="B71" s="4">
        <v>3420.0</v>
      </c>
      <c r="C71" s="6"/>
      <c r="D71" s="6"/>
      <c r="E71" s="50">
        <v>56.0</v>
      </c>
    </row>
    <row r="72">
      <c r="A72" s="69">
        <v>45329.0</v>
      </c>
      <c r="B72" s="4">
        <v>3330.0</v>
      </c>
      <c r="C72" s="6"/>
      <c r="D72" s="6"/>
      <c r="E72" s="50">
        <v>59.0</v>
      </c>
    </row>
    <row r="73">
      <c r="A73" s="69">
        <v>45330.0</v>
      </c>
      <c r="B73" s="4">
        <v>3210.0</v>
      </c>
      <c r="C73" s="6"/>
      <c r="D73" s="6"/>
      <c r="E73" s="50">
        <v>47.0</v>
      </c>
    </row>
    <row r="74">
      <c r="A74" s="69">
        <v>45331.0</v>
      </c>
      <c r="B74" s="4">
        <v>3630.0</v>
      </c>
      <c r="C74" s="6"/>
      <c r="D74" s="6"/>
      <c r="E74" s="50">
        <v>51.0</v>
      </c>
    </row>
    <row r="75">
      <c r="A75" s="69">
        <v>45332.0</v>
      </c>
      <c r="C75" s="70"/>
      <c r="D75" s="70"/>
      <c r="E75" s="52"/>
    </row>
    <row r="76">
      <c r="A76" s="69">
        <v>45333.0</v>
      </c>
      <c r="C76" s="70"/>
      <c r="D76" s="70"/>
      <c r="E76" s="52"/>
    </row>
    <row r="77">
      <c r="A77" s="69">
        <v>45334.0</v>
      </c>
      <c r="B77" s="4">
        <v>3150.0</v>
      </c>
      <c r="C77" s="6"/>
      <c r="D77" s="6"/>
      <c r="E77" s="50">
        <v>50.0</v>
      </c>
    </row>
    <row r="78">
      <c r="A78" s="69">
        <v>45335.0</v>
      </c>
      <c r="C78" s="70"/>
      <c r="D78" s="70"/>
      <c r="E78" s="52"/>
    </row>
    <row r="79">
      <c r="A79" s="69">
        <v>45336.0</v>
      </c>
      <c r="B79" s="4">
        <v>3710.0</v>
      </c>
      <c r="C79" s="6"/>
      <c r="D79" s="6"/>
      <c r="E79" s="50">
        <v>49.0</v>
      </c>
    </row>
    <row r="80">
      <c r="A80" s="69">
        <v>45337.0</v>
      </c>
      <c r="B80" s="4">
        <v>3560.0</v>
      </c>
      <c r="C80" s="6"/>
      <c r="D80" s="6"/>
      <c r="E80" s="50">
        <v>50.0</v>
      </c>
    </row>
    <row r="81">
      <c r="A81" s="69">
        <v>45338.0</v>
      </c>
      <c r="B81" s="4">
        <v>3470.0</v>
      </c>
      <c r="C81" s="6"/>
      <c r="D81" s="6"/>
      <c r="E81" s="50">
        <v>51.0</v>
      </c>
    </row>
    <row r="82">
      <c r="A82" s="69">
        <v>45339.0</v>
      </c>
      <c r="B82" s="4">
        <v>2860.0</v>
      </c>
      <c r="C82" s="6"/>
      <c r="D82" s="6"/>
      <c r="E82" s="50">
        <v>53.0</v>
      </c>
    </row>
    <row r="83">
      <c r="A83" s="69">
        <v>45340.0</v>
      </c>
      <c r="C83" s="70"/>
      <c r="D83" s="70"/>
      <c r="E83" s="52"/>
    </row>
    <row r="84">
      <c r="A84" s="69">
        <v>45341.0</v>
      </c>
      <c r="B84" s="4">
        <v>3460.0</v>
      </c>
      <c r="C84" s="6"/>
      <c r="D84" s="6"/>
      <c r="E84" s="50">
        <v>62.0</v>
      </c>
    </row>
    <row r="85">
      <c r="A85" s="73">
        <v>45342.0</v>
      </c>
      <c r="B85" s="74"/>
      <c r="C85" s="75"/>
      <c r="D85" s="75"/>
      <c r="E85" s="76"/>
    </row>
    <row r="86">
      <c r="A86" s="69">
        <v>45343.0</v>
      </c>
      <c r="C86" s="70"/>
      <c r="D86" s="70"/>
      <c r="E86" s="52"/>
    </row>
    <row r="87">
      <c r="A87" s="69">
        <v>45344.0</v>
      </c>
      <c r="C87" s="70"/>
      <c r="D87" s="70"/>
      <c r="E87" s="52"/>
    </row>
    <row r="88">
      <c r="A88" s="69">
        <v>45345.0</v>
      </c>
      <c r="C88" s="70"/>
      <c r="D88" s="70"/>
      <c r="E88" s="52"/>
    </row>
    <row r="89">
      <c r="A89" s="69">
        <v>45346.0</v>
      </c>
      <c r="C89" s="70"/>
      <c r="D89" s="70"/>
      <c r="E89" s="52"/>
    </row>
    <row r="90">
      <c r="A90" s="69">
        <v>45347.0</v>
      </c>
      <c r="C90" s="70"/>
      <c r="D90" s="70"/>
      <c r="E90" s="52"/>
    </row>
    <row r="91">
      <c r="A91" s="69">
        <v>45348.0</v>
      </c>
      <c r="B91" s="4">
        <v>3460.0</v>
      </c>
      <c r="C91" s="6"/>
      <c r="D91" s="6"/>
      <c r="E91" s="50">
        <v>60.0</v>
      </c>
    </row>
    <row r="92">
      <c r="A92" s="77">
        <v>45349.0</v>
      </c>
      <c r="B92" s="78">
        <v>2330.0</v>
      </c>
      <c r="C92" s="79"/>
      <c r="D92" s="79"/>
      <c r="E92" s="78">
        <v>58.0</v>
      </c>
    </row>
    <row r="93">
      <c r="A93" s="77">
        <v>45350.0</v>
      </c>
      <c r="B93" s="78">
        <v>1830.0</v>
      </c>
      <c r="C93" s="79"/>
      <c r="D93" s="79"/>
      <c r="E93" s="78">
        <v>71.0</v>
      </c>
    </row>
    <row r="94">
      <c r="A94" s="77">
        <v>45351.0</v>
      </c>
      <c r="B94" s="80"/>
      <c r="C94" s="81"/>
      <c r="D94" s="81"/>
      <c r="E94" s="80"/>
    </row>
    <row r="95">
      <c r="A95" s="77">
        <v>45352.0</v>
      </c>
      <c r="B95" s="80"/>
      <c r="C95" s="81"/>
      <c r="D95" s="81"/>
      <c r="E95" s="80"/>
    </row>
    <row r="96">
      <c r="A96" s="77">
        <v>45353.0</v>
      </c>
      <c r="B96" s="80"/>
      <c r="C96" s="81"/>
      <c r="D96" s="81"/>
      <c r="E96" s="80"/>
    </row>
    <row r="97">
      <c r="A97" s="77">
        <v>45354.0</v>
      </c>
      <c r="B97" s="80"/>
      <c r="C97" s="81"/>
      <c r="D97" s="81"/>
      <c r="E97" s="80"/>
    </row>
    <row r="98">
      <c r="A98" s="77">
        <v>45355.0</v>
      </c>
      <c r="B98" s="80"/>
      <c r="C98" s="81"/>
      <c r="D98" s="81"/>
      <c r="E98" s="80"/>
    </row>
    <row r="99">
      <c r="A99" s="77">
        <v>45356.0</v>
      </c>
      <c r="B99" s="80"/>
      <c r="C99" s="81"/>
      <c r="D99" s="81"/>
      <c r="E99" s="80"/>
    </row>
    <row r="100">
      <c r="A100" s="77">
        <v>45357.0</v>
      </c>
      <c r="B100" s="78">
        <v>3510.0</v>
      </c>
      <c r="C100" s="79"/>
      <c r="D100" s="79"/>
      <c r="E100" s="78">
        <v>61.0</v>
      </c>
    </row>
    <row r="101">
      <c r="A101" s="77">
        <v>45358.0</v>
      </c>
      <c r="B101" s="78">
        <v>3480.0</v>
      </c>
      <c r="C101" s="79"/>
      <c r="D101" s="79"/>
      <c r="E101" s="78">
        <v>61.0</v>
      </c>
    </row>
    <row r="102">
      <c r="A102" s="77">
        <v>45359.0</v>
      </c>
      <c r="B102" s="78">
        <v>2980.0</v>
      </c>
      <c r="C102" s="79"/>
      <c r="D102" s="79"/>
      <c r="E102" s="78">
        <v>58.0</v>
      </c>
    </row>
    <row r="103">
      <c r="A103" s="77">
        <v>45360.0</v>
      </c>
      <c r="B103" s="80"/>
      <c r="C103" s="81"/>
      <c r="D103" s="81"/>
      <c r="E103" s="80"/>
    </row>
    <row r="104">
      <c r="A104" s="77">
        <v>45361.0</v>
      </c>
      <c r="B104" s="80"/>
      <c r="C104" s="81"/>
      <c r="D104" s="81"/>
      <c r="E104" s="80"/>
    </row>
    <row r="105">
      <c r="A105" s="77">
        <v>45362.0</v>
      </c>
      <c r="B105" s="78">
        <v>3890.0</v>
      </c>
      <c r="C105" s="79"/>
      <c r="D105" s="79"/>
      <c r="E105" s="78">
        <v>65.0</v>
      </c>
    </row>
    <row r="106">
      <c r="A106" s="77">
        <v>45363.0</v>
      </c>
      <c r="B106" s="78">
        <v>2800.0</v>
      </c>
      <c r="C106" s="79"/>
      <c r="D106" s="79"/>
      <c r="E106" s="78">
        <v>56.0</v>
      </c>
    </row>
    <row r="107">
      <c r="A107" s="77">
        <v>45364.0</v>
      </c>
      <c r="B107" s="78">
        <v>3160.0</v>
      </c>
      <c r="C107" s="79"/>
      <c r="D107" s="79"/>
      <c r="E107" s="78">
        <v>60.0</v>
      </c>
    </row>
    <row r="108">
      <c r="A108" s="77">
        <v>45365.0</v>
      </c>
      <c r="B108" s="78">
        <v>2960.0</v>
      </c>
      <c r="C108" s="79"/>
      <c r="D108" s="79"/>
      <c r="E108" s="78">
        <v>59.0</v>
      </c>
    </row>
    <row r="109">
      <c r="A109" s="77">
        <v>45366.0</v>
      </c>
      <c r="B109" s="80"/>
      <c r="C109" s="81"/>
      <c r="D109" s="81"/>
      <c r="E109" s="80"/>
    </row>
    <row r="110">
      <c r="A110" s="77">
        <v>45367.0</v>
      </c>
      <c r="B110" s="80"/>
      <c r="C110" s="81"/>
      <c r="D110" s="81"/>
      <c r="E110" s="80"/>
    </row>
    <row r="111">
      <c r="A111" s="77">
        <v>45368.0</v>
      </c>
      <c r="B111" s="80"/>
      <c r="C111" s="81"/>
      <c r="D111" s="81"/>
      <c r="E111" s="80"/>
    </row>
    <row r="112">
      <c r="A112" s="77">
        <v>45369.0</v>
      </c>
      <c r="B112" s="78">
        <v>3460.0</v>
      </c>
      <c r="C112" s="79"/>
      <c r="D112" s="79"/>
      <c r="E112" s="78">
        <v>55.0</v>
      </c>
    </row>
    <row r="113">
      <c r="A113" s="77">
        <v>45370.0</v>
      </c>
      <c r="B113" s="78">
        <v>3780.0</v>
      </c>
      <c r="C113" s="79"/>
      <c r="D113" s="79"/>
      <c r="E113" s="78">
        <v>57.0</v>
      </c>
    </row>
    <row r="114">
      <c r="A114" s="77">
        <v>45371.0</v>
      </c>
      <c r="B114" s="78">
        <v>3490.0</v>
      </c>
      <c r="C114" s="79"/>
      <c r="D114" s="79"/>
      <c r="E114" s="78">
        <v>59.0</v>
      </c>
    </row>
    <row r="115">
      <c r="A115" s="77">
        <v>45372.0</v>
      </c>
      <c r="B115" s="78">
        <v>3680.0</v>
      </c>
      <c r="C115" s="79"/>
      <c r="D115" s="79"/>
      <c r="E115" s="78">
        <v>47.0</v>
      </c>
    </row>
    <row r="116">
      <c r="A116" s="77">
        <v>45373.0</v>
      </c>
      <c r="B116" s="78">
        <v>3120.0</v>
      </c>
      <c r="C116" s="79"/>
      <c r="D116" s="79"/>
      <c r="E116" s="78">
        <v>62.0</v>
      </c>
    </row>
    <row r="117">
      <c r="A117" s="77">
        <v>45374.0</v>
      </c>
      <c r="B117" s="80"/>
      <c r="C117" s="81"/>
      <c r="D117" s="81"/>
      <c r="E117" s="80"/>
    </row>
    <row r="118">
      <c r="A118" s="77">
        <v>45375.0</v>
      </c>
      <c r="B118" s="80"/>
      <c r="C118" s="81"/>
      <c r="D118" s="81"/>
      <c r="E118" s="80"/>
    </row>
    <row r="119">
      <c r="A119" s="77">
        <v>45376.0</v>
      </c>
      <c r="B119" s="78">
        <v>3170.0</v>
      </c>
      <c r="C119" s="79"/>
      <c r="D119" s="79"/>
      <c r="E119" s="78">
        <v>63.0</v>
      </c>
    </row>
    <row r="120">
      <c r="A120" s="77">
        <v>45377.0</v>
      </c>
      <c r="B120" s="78">
        <v>3200.0</v>
      </c>
      <c r="C120" s="79"/>
      <c r="D120" s="79"/>
      <c r="E120" s="78">
        <v>52.0</v>
      </c>
    </row>
    <row r="121">
      <c r="A121" s="77">
        <v>45378.0</v>
      </c>
      <c r="B121" s="80"/>
      <c r="C121" s="81"/>
      <c r="D121" s="81"/>
      <c r="E121" s="80"/>
    </row>
    <row r="122">
      <c r="A122" s="77">
        <v>45379.0</v>
      </c>
      <c r="B122" s="78">
        <v>1570.0</v>
      </c>
      <c r="C122" s="79"/>
      <c r="D122" s="79"/>
      <c r="E122" s="78">
        <v>63.0</v>
      </c>
    </row>
    <row r="123">
      <c r="A123" s="77">
        <v>45380.0</v>
      </c>
      <c r="B123" s="80"/>
      <c r="C123" s="81"/>
      <c r="D123" s="81"/>
      <c r="E123" s="80"/>
    </row>
    <row r="124">
      <c r="A124" s="77">
        <v>45381.0</v>
      </c>
      <c r="B124" s="80"/>
      <c r="C124" s="81"/>
      <c r="D124" s="81"/>
      <c r="E124" s="80"/>
    </row>
    <row r="125">
      <c r="A125" s="77">
        <v>45382.0</v>
      </c>
      <c r="B125" s="80"/>
      <c r="C125" s="81"/>
      <c r="D125" s="81"/>
      <c r="E125" s="80"/>
    </row>
    <row r="126">
      <c r="A126" s="77">
        <v>45383.0</v>
      </c>
      <c r="B126" s="78">
        <v>2830.0</v>
      </c>
      <c r="C126" s="79"/>
      <c r="D126" s="79"/>
      <c r="E126" s="78">
        <v>56.0</v>
      </c>
    </row>
    <row r="127">
      <c r="A127" s="77">
        <v>45384.0</v>
      </c>
      <c r="B127" s="80"/>
      <c r="C127" s="81"/>
      <c r="D127" s="81"/>
      <c r="E127" s="80"/>
    </row>
    <row r="128">
      <c r="A128" s="77">
        <v>45385.0</v>
      </c>
      <c r="B128" s="78">
        <v>3110.0</v>
      </c>
      <c r="C128" s="79"/>
      <c r="D128" s="79"/>
      <c r="E128" s="78">
        <v>59.0</v>
      </c>
    </row>
    <row r="129">
      <c r="A129" s="77">
        <v>45386.0</v>
      </c>
      <c r="B129" s="78">
        <v>2930.0</v>
      </c>
      <c r="C129" s="79"/>
      <c r="D129" s="79"/>
      <c r="E129" s="78">
        <v>65.0</v>
      </c>
    </row>
    <row r="130">
      <c r="A130" s="77">
        <v>45387.0</v>
      </c>
      <c r="B130" s="78">
        <v>3020.0</v>
      </c>
      <c r="C130" s="79"/>
      <c r="D130" s="79"/>
      <c r="E130" s="78">
        <v>61.0</v>
      </c>
    </row>
    <row r="131">
      <c r="A131" s="77">
        <v>45388.0</v>
      </c>
      <c r="B131" s="80"/>
      <c r="C131" s="81"/>
      <c r="D131" s="81"/>
      <c r="E131" s="80"/>
    </row>
    <row r="132">
      <c r="A132" s="77">
        <v>45389.0</v>
      </c>
      <c r="B132" s="80"/>
      <c r="C132" s="81"/>
      <c r="D132" s="81"/>
      <c r="E132" s="80"/>
    </row>
    <row r="133">
      <c r="A133" s="77">
        <v>45390.0</v>
      </c>
      <c r="B133" s="78">
        <v>3260.0</v>
      </c>
      <c r="C133" s="79"/>
      <c r="D133" s="79"/>
      <c r="E133" s="78">
        <v>53.0</v>
      </c>
    </row>
    <row r="134">
      <c r="A134" s="77">
        <v>45391.0</v>
      </c>
      <c r="B134" s="78">
        <v>3300.0</v>
      </c>
      <c r="C134" s="79"/>
      <c r="D134" s="79"/>
      <c r="E134" s="78">
        <v>53.0</v>
      </c>
    </row>
    <row r="135">
      <c r="A135" s="77">
        <v>45392.0</v>
      </c>
      <c r="B135" s="78">
        <v>3250.0</v>
      </c>
      <c r="C135" s="79"/>
      <c r="D135" s="79"/>
      <c r="E135" s="78">
        <v>54.0</v>
      </c>
    </row>
    <row r="136">
      <c r="A136" s="77">
        <v>45393.0</v>
      </c>
      <c r="B136" s="78">
        <v>3210.0</v>
      </c>
      <c r="C136" s="79"/>
      <c r="D136" s="79"/>
      <c r="E136" s="78">
        <v>56.0</v>
      </c>
    </row>
    <row r="137">
      <c r="A137" s="77">
        <v>45394.0</v>
      </c>
      <c r="B137" s="78">
        <v>3250.0</v>
      </c>
      <c r="C137" s="79"/>
      <c r="D137" s="79"/>
      <c r="E137" s="78">
        <v>51.0</v>
      </c>
    </row>
    <row r="138">
      <c r="A138" s="77">
        <v>45395.0</v>
      </c>
      <c r="B138" s="80"/>
      <c r="C138" s="81"/>
      <c r="D138" s="81"/>
      <c r="E138" s="80"/>
    </row>
    <row r="139">
      <c r="A139" s="77">
        <v>45396.0</v>
      </c>
      <c r="B139" s="80"/>
      <c r="C139" s="81"/>
      <c r="D139" s="81"/>
      <c r="E139" s="80"/>
    </row>
    <row r="140">
      <c r="A140" s="77">
        <v>45397.0</v>
      </c>
      <c r="C140" s="70"/>
      <c r="D140" s="70"/>
    </row>
    <row r="141">
      <c r="A141" s="77">
        <v>45398.0</v>
      </c>
      <c r="B141" s="4">
        <v>3260.0</v>
      </c>
      <c r="C141" s="6"/>
      <c r="D141" s="6"/>
      <c r="E141" s="6">
        <v>54.0</v>
      </c>
    </row>
    <row r="142">
      <c r="A142" s="77">
        <v>45399.0</v>
      </c>
      <c r="B142" s="4">
        <v>3470.0</v>
      </c>
      <c r="C142" s="6"/>
      <c r="D142" s="6"/>
      <c r="E142" s="6">
        <v>49.0</v>
      </c>
    </row>
    <row r="143">
      <c r="A143" s="77">
        <v>45400.0</v>
      </c>
      <c r="B143" s="4">
        <v>3300.0</v>
      </c>
      <c r="C143" s="6"/>
      <c r="D143" s="6"/>
      <c r="E143" s="6">
        <v>57.0</v>
      </c>
    </row>
    <row r="144">
      <c r="A144" s="77">
        <v>45401.0</v>
      </c>
      <c r="B144" s="4">
        <v>3550.0</v>
      </c>
      <c r="C144" s="6"/>
      <c r="D144" s="6"/>
      <c r="E144" s="6">
        <v>70.0</v>
      </c>
    </row>
    <row r="145">
      <c r="A145" s="77">
        <v>45402.0</v>
      </c>
      <c r="C145" s="70"/>
      <c r="D145" s="70"/>
      <c r="E145" s="52"/>
    </row>
    <row r="146">
      <c r="A146" s="77">
        <v>45403.0</v>
      </c>
      <c r="C146" s="70"/>
      <c r="D146" s="70"/>
      <c r="E146" s="52"/>
    </row>
    <row r="147">
      <c r="A147" s="77">
        <v>45404.0</v>
      </c>
      <c r="C147" s="70"/>
      <c r="D147" s="70"/>
      <c r="E147" s="52"/>
    </row>
    <row r="148">
      <c r="A148" s="77">
        <v>45405.0</v>
      </c>
      <c r="C148" s="70"/>
      <c r="D148" s="70"/>
      <c r="E148" s="52"/>
    </row>
    <row r="149">
      <c r="A149" s="77">
        <v>45406.0</v>
      </c>
      <c r="C149" s="70"/>
      <c r="D149" s="70"/>
      <c r="E149" s="52"/>
    </row>
    <row r="150">
      <c r="A150" s="77">
        <v>45407.0</v>
      </c>
      <c r="C150" s="70"/>
      <c r="D150" s="70"/>
      <c r="E150" s="52"/>
    </row>
    <row r="151">
      <c r="A151" s="77">
        <v>45408.0</v>
      </c>
      <c r="C151" s="70"/>
      <c r="D151" s="70"/>
      <c r="E151" s="52"/>
    </row>
    <row r="152">
      <c r="A152" s="77">
        <v>45409.0</v>
      </c>
      <c r="C152" s="70"/>
      <c r="D152" s="70"/>
      <c r="E152" s="52"/>
    </row>
    <row r="153">
      <c r="A153" s="77">
        <v>45410.0</v>
      </c>
      <c r="C153" s="70"/>
      <c r="D153" s="70"/>
      <c r="E153" s="52"/>
    </row>
    <row r="154">
      <c r="A154" s="77">
        <v>45411.0</v>
      </c>
      <c r="C154" s="70"/>
      <c r="D154" s="70"/>
      <c r="E154" s="52"/>
    </row>
    <row r="155">
      <c r="A155" s="77">
        <v>45412.0</v>
      </c>
      <c r="C155" s="70"/>
      <c r="D155" s="70"/>
      <c r="E155" s="52"/>
    </row>
    <row r="156">
      <c r="A156" s="77">
        <v>45413.0</v>
      </c>
      <c r="C156" s="70"/>
      <c r="D156" s="70"/>
      <c r="E156" s="52"/>
    </row>
    <row r="157">
      <c r="A157" s="77">
        <v>45414.0</v>
      </c>
      <c r="C157" s="70"/>
      <c r="D157" s="70"/>
      <c r="E157" s="52"/>
    </row>
    <row r="158">
      <c r="A158" s="77">
        <v>45415.0</v>
      </c>
      <c r="C158" s="70"/>
      <c r="D158" s="70"/>
      <c r="E158" s="52"/>
    </row>
    <row r="159">
      <c r="A159" s="77">
        <v>45416.0</v>
      </c>
      <c r="C159" s="70"/>
      <c r="D159" s="70"/>
      <c r="E159" s="52"/>
    </row>
    <row r="160">
      <c r="A160" s="77">
        <v>45417.0</v>
      </c>
      <c r="C160" s="70"/>
      <c r="D160" s="70"/>
      <c r="E160" s="52"/>
    </row>
    <row r="161">
      <c r="A161" s="77">
        <v>45418.0</v>
      </c>
      <c r="C161" s="70"/>
      <c r="D161" s="70"/>
      <c r="E161" s="52"/>
    </row>
    <row r="162">
      <c r="A162" s="77">
        <v>45419.0</v>
      </c>
      <c r="C162" s="70"/>
      <c r="D162" s="70"/>
      <c r="E162" s="52"/>
    </row>
    <row r="163">
      <c r="A163" s="77">
        <v>45420.0</v>
      </c>
      <c r="C163" s="70"/>
      <c r="D163" s="70"/>
      <c r="E163" s="52"/>
    </row>
    <row r="164">
      <c r="A164" s="77">
        <v>45421.0</v>
      </c>
      <c r="C164" s="82">
        <v>2540.0</v>
      </c>
      <c r="D164" s="82"/>
      <c r="E164" s="52"/>
    </row>
    <row r="165">
      <c r="A165" s="77">
        <v>45422.0</v>
      </c>
      <c r="C165" s="82">
        <v>3130.0</v>
      </c>
      <c r="D165" s="82"/>
      <c r="E165" s="52"/>
    </row>
    <row r="166">
      <c r="A166" s="77">
        <v>45423.0</v>
      </c>
      <c r="C166" s="38"/>
      <c r="D166" s="38"/>
      <c r="E166" s="52"/>
    </row>
    <row r="167">
      <c r="A167" s="77">
        <v>45424.0</v>
      </c>
      <c r="C167" s="38"/>
      <c r="D167" s="38"/>
      <c r="E167" s="52"/>
    </row>
    <row r="168">
      <c r="A168" s="77">
        <v>45425.0</v>
      </c>
      <c r="C168" s="82">
        <v>2900.0</v>
      </c>
      <c r="D168" s="82"/>
      <c r="E168" s="52"/>
    </row>
    <row r="169">
      <c r="A169" s="77">
        <v>45426.0</v>
      </c>
      <c r="C169" s="82">
        <v>2950.0</v>
      </c>
      <c r="D169" s="82"/>
      <c r="E169" s="52"/>
    </row>
    <row r="170">
      <c r="A170" s="77">
        <v>45427.0</v>
      </c>
      <c r="C170" s="82">
        <v>3270.0</v>
      </c>
      <c r="D170" s="82"/>
      <c r="E170" s="52"/>
    </row>
    <row r="171">
      <c r="A171" s="77">
        <v>45428.0</v>
      </c>
      <c r="C171" s="82">
        <v>1970.0</v>
      </c>
      <c r="D171" s="82"/>
      <c r="E171" s="52"/>
    </row>
    <row r="172">
      <c r="A172" s="77">
        <v>45429.0</v>
      </c>
      <c r="C172" s="82">
        <v>2260.0</v>
      </c>
      <c r="D172" s="82"/>
      <c r="E172" s="52"/>
    </row>
    <row r="173">
      <c r="A173" s="77">
        <v>45430.0</v>
      </c>
      <c r="C173" s="70"/>
      <c r="D173" s="70"/>
      <c r="E173" s="52"/>
    </row>
    <row r="174">
      <c r="A174" s="77">
        <v>45431.0</v>
      </c>
      <c r="C174" s="70"/>
      <c r="D174" s="70"/>
      <c r="E174" s="52"/>
    </row>
    <row r="175">
      <c r="A175" s="77">
        <v>45432.0</v>
      </c>
      <c r="C175" s="70"/>
      <c r="D175" s="70"/>
      <c r="E175" s="52"/>
    </row>
    <row r="176">
      <c r="A176" s="77">
        <v>45433.0</v>
      </c>
      <c r="C176" s="70"/>
      <c r="D176" s="70"/>
      <c r="E176" s="52"/>
    </row>
    <row r="177">
      <c r="A177" s="77">
        <v>45434.0</v>
      </c>
      <c r="C177" s="70"/>
      <c r="D177" s="70"/>
      <c r="E177" s="52"/>
    </row>
    <row r="178">
      <c r="A178" s="77">
        <v>45435.0</v>
      </c>
      <c r="C178" s="70"/>
      <c r="D178" s="70"/>
      <c r="E178" s="52"/>
    </row>
    <row r="179">
      <c r="A179" s="77">
        <v>45436.0</v>
      </c>
      <c r="C179" s="70"/>
      <c r="D179" s="70"/>
      <c r="E179" s="52"/>
    </row>
    <row r="180">
      <c r="A180" s="77">
        <v>45437.0</v>
      </c>
      <c r="C180" s="70"/>
      <c r="D180" s="70"/>
      <c r="E180" s="52"/>
    </row>
    <row r="181">
      <c r="A181" s="77">
        <v>45438.0</v>
      </c>
      <c r="C181" s="70"/>
      <c r="D181" s="70"/>
      <c r="E181" s="52"/>
    </row>
    <row r="182">
      <c r="A182" s="77">
        <v>45439.0</v>
      </c>
      <c r="C182" s="70"/>
      <c r="D182" s="70"/>
      <c r="E182" s="52"/>
    </row>
    <row r="183">
      <c r="A183" s="77">
        <v>45440.0</v>
      </c>
      <c r="B183" s="4">
        <v>3370.0</v>
      </c>
      <c r="C183" s="70"/>
      <c r="D183" s="70"/>
      <c r="E183" s="52"/>
    </row>
    <row r="184">
      <c r="A184" s="77">
        <v>45441.0</v>
      </c>
      <c r="B184" s="4">
        <v>3490.0</v>
      </c>
      <c r="C184" s="70"/>
      <c r="D184" s="70"/>
      <c r="E184" s="52"/>
    </row>
    <row r="185">
      <c r="A185" s="77">
        <v>45442.0</v>
      </c>
      <c r="B185" s="4">
        <v>3130.0</v>
      </c>
      <c r="C185" s="70"/>
      <c r="D185" s="70"/>
      <c r="E185" s="52"/>
    </row>
    <row r="186">
      <c r="A186" s="77">
        <v>45443.0</v>
      </c>
      <c r="B186" s="4">
        <v>2680.0</v>
      </c>
      <c r="C186" s="70"/>
      <c r="D186" s="70"/>
      <c r="E186" s="52"/>
    </row>
    <row r="187">
      <c r="A187" s="77">
        <v>45444.0</v>
      </c>
      <c r="C187" s="70"/>
      <c r="D187" s="70"/>
      <c r="E187" s="52"/>
    </row>
    <row r="188">
      <c r="A188" s="77">
        <v>45445.0</v>
      </c>
      <c r="D188" s="70"/>
      <c r="E188" s="52"/>
    </row>
    <row r="189">
      <c r="A189" s="77">
        <v>45446.0</v>
      </c>
      <c r="B189" s="4">
        <v>3590.0</v>
      </c>
      <c r="D189" s="70"/>
      <c r="E189" s="52"/>
    </row>
    <row r="190">
      <c r="A190" s="77">
        <v>45447.0</v>
      </c>
      <c r="B190" s="4">
        <v>3880.0</v>
      </c>
      <c r="C190" s="70"/>
      <c r="D190" s="70"/>
      <c r="E190" s="52"/>
    </row>
    <row r="191">
      <c r="A191" s="77">
        <v>45448.0</v>
      </c>
      <c r="B191" s="4">
        <v>3820.0</v>
      </c>
      <c r="C191" s="70"/>
      <c r="D191" s="70"/>
      <c r="E191" s="52"/>
    </row>
    <row r="192">
      <c r="A192" s="77">
        <v>45449.0</v>
      </c>
      <c r="B192" s="4">
        <v>3310.0</v>
      </c>
      <c r="C192" s="70"/>
      <c r="D192" s="70"/>
      <c r="E192" s="52"/>
    </row>
    <row r="193">
      <c r="A193" s="77">
        <v>45450.0</v>
      </c>
      <c r="B193" s="4">
        <v>3340.0</v>
      </c>
      <c r="C193" s="70"/>
      <c r="D193" s="70"/>
      <c r="E193" s="52"/>
    </row>
    <row r="194">
      <c r="A194" s="77">
        <v>45451.0</v>
      </c>
      <c r="C194" s="70"/>
      <c r="D194" s="70"/>
      <c r="E194" s="52"/>
    </row>
    <row r="195">
      <c r="A195" s="77">
        <v>45452.0</v>
      </c>
      <c r="C195" s="70"/>
      <c r="D195" s="70"/>
      <c r="E195" s="52"/>
    </row>
    <row r="196">
      <c r="A196" s="77">
        <v>45453.0</v>
      </c>
      <c r="B196" s="4">
        <v>3370.0</v>
      </c>
      <c r="C196" s="70"/>
      <c r="D196" s="70"/>
      <c r="E196" s="52"/>
    </row>
    <row r="197">
      <c r="A197" s="77">
        <v>45454.0</v>
      </c>
      <c r="C197" s="70"/>
      <c r="D197" s="70"/>
      <c r="E197" s="52"/>
    </row>
    <row r="198">
      <c r="A198" s="77">
        <v>45455.0</v>
      </c>
      <c r="C198" s="70"/>
      <c r="D198" s="70"/>
      <c r="E198" s="52"/>
    </row>
    <row r="199">
      <c r="A199" s="77">
        <v>45456.0</v>
      </c>
      <c r="C199" s="70"/>
      <c r="D199" s="70"/>
      <c r="E199" s="52"/>
    </row>
    <row r="200">
      <c r="A200" s="77">
        <v>45457.0</v>
      </c>
      <c r="C200" s="70"/>
      <c r="D200" s="70"/>
      <c r="E200" s="52"/>
    </row>
    <row r="201">
      <c r="A201" s="77">
        <v>45458.0</v>
      </c>
      <c r="C201" s="70"/>
      <c r="D201" s="70"/>
      <c r="E201" s="52"/>
    </row>
    <row r="202">
      <c r="A202" s="77">
        <v>45459.0</v>
      </c>
      <c r="C202" s="70"/>
      <c r="D202" s="70"/>
      <c r="E202" s="52"/>
    </row>
    <row r="203">
      <c r="A203" s="77">
        <v>45460.0</v>
      </c>
      <c r="C203" s="70"/>
      <c r="D203" s="70"/>
      <c r="E203" s="52"/>
    </row>
    <row r="204">
      <c r="A204" s="77">
        <v>45461.0</v>
      </c>
      <c r="C204" s="70"/>
      <c r="D204" s="70"/>
      <c r="E204" s="52"/>
    </row>
    <row r="205">
      <c r="A205" s="77">
        <v>45462.0</v>
      </c>
      <c r="C205" s="70"/>
      <c r="D205" s="70"/>
      <c r="E205" s="52"/>
    </row>
    <row r="206">
      <c r="A206" s="77">
        <v>45463.0</v>
      </c>
      <c r="C206" s="70"/>
      <c r="D206" s="70"/>
      <c r="E206" s="52"/>
    </row>
    <row r="207">
      <c r="A207" s="77">
        <v>45464.0</v>
      </c>
      <c r="C207" s="70"/>
      <c r="D207" s="70"/>
      <c r="E207" s="52"/>
    </row>
    <row r="208">
      <c r="A208" s="77">
        <v>45465.0</v>
      </c>
      <c r="C208" s="70"/>
      <c r="D208" s="70"/>
      <c r="E208" s="52"/>
    </row>
    <row r="209">
      <c r="A209" s="77">
        <v>45466.0</v>
      </c>
      <c r="C209" s="70"/>
      <c r="D209" s="70"/>
      <c r="E209" s="52"/>
    </row>
    <row r="210">
      <c r="A210" s="77">
        <v>45467.0</v>
      </c>
      <c r="C210" s="70"/>
      <c r="D210" s="70"/>
      <c r="E210" s="52"/>
    </row>
    <row r="211">
      <c r="A211" s="77">
        <v>45468.0</v>
      </c>
      <c r="C211" s="70"/>
      <c r="D211" s="70"/>
      <c r="E211" s="52"/>
    </row>
    <row r="212">
      <c r="A212" s="77">
        <v>45469.0</v>
      </c>
      <c r="C212" s="70"/>
      <c r="D212" s="70"/>
      <c r="E212" s="52"/>
    </row>
    <row r="213">
      <c r="A213" s="77">
        <v>45470.0</v>
      </c>
      <c r="C213" s="70"/>
      <c r="D213" s="70"/>
      <c r="E213" s="52"/>
    </row>
    <row r="214">
      <c r="A214" s="77">
        <v>45471.0</v>
      </c>
      <c r="C214" s="70"/>
      <c r="D214" s="70"/>
      <c r="E214" s="52"/>
    </row>
    <row r="215">
      <c r="A215" s="77">
        <v>45472.0</v>
      </c>
      <c r="C215" s="70"/>
      <c r="D215" s="70"/>
      <c r="E215" s="52"/>
    </row>
    <row r="216">
      <c r="A216" s="77">
        <v>45473.0</v>
      </c>
      <c r="C216" s="70"/>
      <c r="D216" s="70"/>
      <c r="E216" s="52"/>
    </row>
    <row r="217">
      <c r="A217" s="77">
        <v>45474.0</v>
      </c>
      <c r="C217" s="70"/>
      <c r="D217" s="70"/>
      <c r="E217" s="52"/>
    </row>
    <row r="218">
      <c r="A218" s="77">
        <v>45475.0</v>
      </c>
      <c r="B218" s="4">
        <v>3230.0</v>
      </c>
      <c r="C218" s="70"/>
      <c r="D218" s="70"/>
      <c r="E218" s="52"/>
    </row>
    <row r="219">
      <c r="A219" s="77">
        <v>45476.0</v>
      </c>
      <c r="B219" s="4">
        <v>3660.0</v>
      </c>
      <c r="C219" s="70"/>
      <c r="D219" s="70"/>
      <c r="E219" s="52"/>
    </row>
    <row r="220">
      <c r="A220" s="77">
        <v>45477.0</v>
      </c>
      <c r="C220" s="70"/>
      <c r="D220" s="70"/>
      <c r="E220" s="52"/>
    </row>
    <row r="221">
      <c r="A221" s="77">
        <v>45478.0</v>
      </c>
      <c r="B221" s="4">
        <v>3840.0</v>
      </c>
      <c r="C221" s="70"/>
      <c r="D221" s="70"/>
      <c r="E221" s="52"/>
    </row>
    <row r="222">
      <c r="A222" s="77">
        <v>45479.0</v>
      </c>
      <c r="C222" s="70"/>
      <c r="D222" s="70"/>
      <c r="E222" s="52"/>
    </row>
    <row r="223">
      <c r="A223" s="77">
        <v>45480.0</v>
      </c>
      <c r="C223" s="70"/>
      <c r="D223" s="70"/>
      <c r="E223" s="52"/>
    </row>
    <row r="224">
      <c r="A224" s="77">
        <v>45481.0</v>
      </c>
      <c r="B224" s="4">
        <v>3850.0</v>
      </c>
      <c r="C224" s="70"/>
      <c r="D224" s="70"/>
      <c r="E224" s="52"/>
    </row>
    <row r="225">
      <c r="A225" s="77">
        <v>45482.0</v>
      </c>
      <c r="B225" s="4">
        <v>3590.0</v>
      </c>
      <c r="C225" s="70"/>
      <c r="D225" s="70"/>
      <c r="E225" s="52"/>
    </row>
    <row r="226">
      <c r="A226" s="77">
        <v>45483.0</v>
      </c>
      <c r="B226" s="4">
        <v>2910.0</v>
      </c>
      <c r="C226" s="70"/>
      <c r="D226" s="70"/>
      <c r="E226" s="52"/>
    </row>
    <row r="227">
      <c r="A227" s="77">
        <v>45484.0</v>
      </c>
      <c r="C227" s="70"/>
      <c r="D227" s="70"/>
      <c r="E227" s="52"/>
    </row>
    <row r="228">
      <c r="A228" s="77">
        <v>45485.0</v>
      </c>
      <c r="B228" s="4">
        <v>3270.0</v>
      </c>
      <c r="C228" s="70"/>
      <c r="D228" s="70"/>
      <c r="E228" s="52"/>
    </row>
    <row r="229">
      <c r="A229" s="77">
        <v>45486.0</v>
      </c>
      <c r="C229" s="70"/>
      <c r="D229" s="70"/>
      <c r="E229" s="52"/>
    </row>
    <row r="230">
      <c r="A230" s="77">
        <v>45487.0</v>
      </c>
      <c r="C230" s="70"/>
      <c r="D230" s="70"/>
      <c r="E230" s="52"/>
    </row>
    <row r="231">
      <c r="A231" s="77">
        <v>45488.0</v>
      </c>
      <c r="C231" s="70"/>
      <c r="D231" s="70"/>
      <c r="E231" s="52"/>
    </row>
    <row r="232">
      <c r="A232" s="77">
        <v>45489.0</v>
      </c>
      <c r="B232" s="4">
        <v>3470.0</v>
      </c>
      <c r="C232" s="70"/>
      <c r="D232" s="70"/>
      <c r="E232" s="52"/>
    </row>
    <row r="233">
      <c r="A233" s="77">
        <v>45490.0</v>
      </c>
      <c r="B233" s="4">
        <v>3550.0</v>
      </c>
      <c r="C233" s="70"/>
      <c r="D233" s="70"/>
      <c r="E233" s="52"/>
    </row>
    <row r="234">
      <c r="A234" s="77">
        <v>45491.0</v>
      </c>
      <c r="B234" s="4">
        <v>3510.0</v>
      </c>
      <c r="C234" s="70"/>
      <c r="D234" s="70"/>
      <c r="E234" s="52"/>
    </row>
    <row r="235">
      <c r="A235" s="77">
        <v>45492.0</v>
      </c>
      <c r="B235" s="4">
        <v>3520.0</v>
      </c>
      <c r="C235" s="70"/>
      <c r="D235" s="70"/>
      <c r="E235" s="52"/>
    </row>
    <row r="236">
      <c r="A236" s="77">
        <v>45493.0</v>
      </c>
      <c r="C236" s="70"/>
      <c r="D236" s="70"/>
      <c r="E236" s="52"/>
    </row>
    <row r="237">
      <c r="A237" s="77">
        <v>45494.0</v>
      </c>
      <c r="C237" s="70"/>
      <c r="D237" s="70"/>
      <c r="E237" s="52"/>
    </row>
    <row r="238">
      <c r="A238" s="77">
        <v>45495.0</v>
      </c>
      <c r="B238" s="4">
        <v>3270.0</v>
      </c>
      <c r="C238" s="70"/>
      <c r="D238" s="70"/>
      <c r="E238" s="52"/>
    </row>
    <row r="239">
      <c r="A239" s="77">
        <v>45496.0</v>
      </c>
      <c r="B239" s="4">
        <v>3310.0</v>
      </c>
      <c r="C239" s="70"/>
      <c r="D239" s="70"/>
      <c r="E239" s="52"/>
    </row>
    <row r="240">
      <c r="A240" s="77">
        <v>45497.0</v>
      </c>
      <c r="B240" s="4">
        <v>3220.0</v>
      </c>
      <c r="C240" s="70"/>
      <c r="D240" s="70"/>
      <c r="E240" s="52"/>
    </row>
    <row r="241">
      <c r="A241" s="77">
        <v>45498.0</v>
      </c>
      <c r="B241" s="4">
        <v>3230.0</v>
      </c>
      <c r="C241" s="70"/>
      <c r="D241" s="70"/>
      <c r="E241" s="52"/>
    </row>
    <row r="242">
      <c r="A242" s="77">
        <v>45499.0</v>
      </c>
      <c r="B242" s="4">
        <v>3630.0</v>
      </c>
      <c r="C242" s="70"/>
      <c r="D242" s="70"/>
      <c r="E242" s="52"/>
    </row>
    <row r="243">
      <c r="A243" s="77">
        <v>45500.0</v>
      </c>
      <c r="C243" s="70"/>
      <c r="D243" s="70"/>
      <c r="E243" s="52"/>
    </row>
    <row r="244">
      <c r="A244" s="77">
        <v>45501.0</v>
      </c>
      <c r="C244" s="70"/>
      <c r="D244" s="70"/>
      <c r="E244" s="52"/>
    </row>
    <row r="245">
      <c r="A245" s="77">
        <v>45502.0</v>
      </c>
      <c r="C245" s="70"/>
      <c r="D245" s="70"/>
      <c r="E245" s="52"/>
    </row>
    <row r="246">
      <c r="A246" s="77">
        <v>45503.0</v>
      </c>
      <c r="C246" s="70"/>
      <c r="D246" s="70"/>
      <c r="E246" s="52"/>
    </row>
    <row r="247">
      <c r="A247" s="77">
        <v>45504.0</v>
      </c>
      <c r="B247" s="4">
        <v>3640.0</v>
      </c>
      <c r="C247" s="70"/>
      <c r="D247" s="70"/>
      <c r="E247" s="52"/>
    </row>
    <row r="248">
      <c r="A248" s="77">
        <v>45505.0</v>
      </c>
      <c r="B248" s="4">
        <v>3490.0</v>
      </c>
      <c r="C248" s="70"/>
      <c r="D248" s="70"/>
      <c r="E248" s="52"/>
    </row>
    <row r="249">
      <c r="A249" s="77">
        <v>45506.0</v>
      </c>
      <c r="B249" s="4">
        <v>3130.0</v>
      </c>
      <c r="C249" s="70"/>
      <c r="D249" s="70"/>
      <c r="E249" s="52"/>
    </row>
    <row r="250">
      <c r="A250" s="77">
        <v>45507.0</v>
      </c>
      <c r="C250" s="70"/>
      <c r="D250" s="70"/>
      <c r="E250" s="52"/>
    </row>
    <row r="251">
      <c r="A251" s="77">
        <v>45508.0</v>
      </c>
      <c r="C251" s="70"/>
      <c r="D251" s="70"/>
      <c r="E251" s="52"/>
    </row>
    <row r="252">
      <c r="A252" s="77">
        <v>45509.0</v>
      </c>
      <c r="B252" s="4">
        <v>3810.0</v>
      </c>
      <c r="C252" s="70"/>
      <c r="D252" s="70"/>
      <c r="E252" s="52"/>
    </row>
    <row r="253">
      <c r="A253" s="77">
        <v>45510.0</v>
      </c>
      <c r="B253" s="4">
        <v>3170.0</v>
      </c>
      <c r="C253" s="70"/>
      <c r="D253" s="70"/>
      <c r="E253" s="52"/>
    </row>
    <row r="254">
      <c r="A254" s="77">
        <v>45511.0</v>
      </c>
      <c r="B254" s="4">
        <v>3820.0</v>
      </c>
      <c r="C254" s="70"/>
      <c r="D254" s="70"/>
      <c r="E254" s="52"/>
    </row>
    <row r="255">
      <c r="A255" s="77">
        <v>45512.0</v>
      </c>
      <c r="B255" s="4">
        <v>3280.0</v>
      </c>
      <c r="C255" s="70"/>
      <c r="D255" s="70"/>
      <c r="E255" s="52"/>
    </row>
    <row r="256">
      <c r="A256" s="77">
        <v>45513.0</v>
      </c>
      <c r="B256" s="4">
        <v>3210.0</v>
      </c>
      <c r="C256" s="70"/>
      <c r="D256" s="70"/>
      <c r="E256" s="52"/>
    </row>
    <row r="257">
      <c r="A257" s="77">
        <v>45514.0</v>
      </c>
      <c r="C257" s="70"/>
      <c r="D257" s="70"/>
      <c r="E257" s="52"/>
    </row>
    <row r="258">
      <c r="A258" s="77">
        <v>45515.0</v>
      </c>
      <c r="C258" s="70"/>
      <c r="D258" s="70"/>
      <c r="E258" s="52"/>
    </row>
    <row r="259">
      <c r="A259" s="77">
        <v>45516.0</v>
      </c>
      <c r="B259" s="4">
        <v>3750.0</v>
      </c>
      <c r="C259" s="70"/>
      <c r="D259" s="70"/>
      <c r="E259" s="52"/>
    </row>
    <row r="260">
      <c r="A260" s="77">
        <v>45517.0</v>
      </c>
      <c r="B260" s="4">
        <v>3700.0</v>
      </c>
      <c r="C260" s="70"/>
      <c r="D260" s="70"/>
      <c r="E260" s="52"/>
    </row>
    <row r="261">
      <c r="A261" s="77">
        <v>45518.0</v>
      </c>
      <c r="B261" s="4">
        <v>3200.0</v>
      </c>
      <c r="C261" s="70"/>
      <c r="D261" s="70"/>
      <c r="E261" s="52"/>
    </row>
    <row r="262">
      <c r="A262" s="77">
        <v>45519.0</v>
      </c>
      <c r="B262" s="4">
        <v>3290.0</v>
      </c>
      <c r="C262" s="70"/>
      <c r="D262" s="70"/>
      <c r="E262" s="52"/>
    </row>
    <row r="263">
      <c r="A263" s="77">
        <v>45520.0</v>
      </c>
      <c r="B263" s="4">
        <v>3870.0</v>
      </c>
      <c r="C263" s="70"/>
      <c r="D263" s="70"/>
      <c r="E263" s="52"/>
    </row>
    <row r="264">
      <c r="A264" s="77">
        <v>45521.0</v>
      </c>
      <c r="C264" s="70"/>
      <c r="D264" s="70"/>
      <c r="E264" s="52"/>
    </row>
    <row r="265">
      <c r="A265" s="77">
        <v>45522.0</v>
      </c>
      <c r="C265" s="70"/>
      <c r="D265" s="70"/>
      <c r="E265" s="52"/>
    </row>
    <row r="266">
      <c r="A266" s="77">
        <v>45523.0</v>
      </c>
      <c r="C266" s="70"/>
      <c r="D266" s="70"/>
      <c r="E266" s="52"/>
    </row>
    <row r="267">
      <c r="A267" s="77">
        <v>45524.0</v>
      </c>
      <c r="B267" s="4">
        <v>3330.0</v>
      </c>
      <c r="C267" s="70"/>
      <c r="D267" s="70"/>
      <c r="E267" s="52"/>
    </row>
    <row r="268">
      <c r="A268" s="77">
        <v>45525.0</v>
      </c>
      <c r="B268" s="4">
        <v>3780.0</v>
      </c>
      <c r="C268" s="70"/>
      <c r="D268" s="70"/>
      <c r="E268" s="52"/>
    </row>
    <row r="269">
      <c r="A269" s="77">
        <v>45526.0</v>
      </c>
      <c r="B269" s="4">
        <v>3540.0</v>
      </c>
      <c r="C269" s="70"/>
      <c r="D269" s="70"/>
      <c r="E269" s="52"/>
    </row>
    <row r="270">
      <c r="A270" s="77">
        <v>45527.0</v>
      </c>
      <c r="B270" s="4">
        <v>3270.0</v>
      </c>
      <c r="C270" s="70"/>
      <c r="D270" s="70"/>
      <c r="E270" s="52"/>
    </row>
    <row r="271">
      <c r="A271" s="77">
        <v>45528.0</v>
      </c>
      <c r="C271" s="70"/>
      <c r="D271" s="70"/>
      <c r="E271" s="52"/>
    </row>
    <row r="272">
      <c r="A272" s="77">
        <v>45529.0</v>
      </c>
      <c r="C272" s="70"/>
      <c r="D272" s="70"/>
      <c r="E272" s="52"/>
    </row>
    <row r="273">
      <c r="A273" s="77">
        <v>45530.0</v>
      </c>
      <c r="C273" s="70"/>
      <c r="D273" s="70"/>
      <c r="E273" s="52"/>
    </row>
    <row r="274">
      <c r="A274" s="77">
        <v>45531.0</v>
      </c>
      <c r="B274" s="4">
        <v>3500.0</v>
      </c>
      <c r="C274" s="70"/>
      <c r="D274" s="70"/>
      <c r="E274" s="52"/>
    </row>
    <row r="275">
      <c r="A275" s="77">
        <v>45532.0</v>
      </c>
      <c r="B275" s="4">
        <v>3390.0</v>
      </c>
      <c r="C275" s="70"/>
      <c r="D275" s="70"/>
      <c r="E275" s="52"/>
    </row>
    <row r="276">
      <c r="A276" s="77">
        <v>45533.0</v>
      </c>
      <c r="B276" s="4">
        <v>3290.0</v>
      </c>
      <c r="C276" s="70"/>
      <c r="D276" s="70"/>
      <c r="E276" s="52"/>
    </row>
    <row r="277">
      <c r="A277" s="77">
        <v>45534.0</v>
      </c>
      <c r="B277" s="4">
        <v>3170.0</v>
      </c>
      <c r="C277" s="70"/>
      <c r="D277" s="70"/>
      <c r="E277" s="52"/>
    </row>
    <row r="278">
      <c r="A278" s="77">
        <v>45535.0</v>
      </c>
      <c r="C278" s="70"/>
      <c r="D278" s="70"/>
      <c r="E278" s="52"/>
    </row>
    <row r="279">
      <c r="A279" s="77">
        <v>45536.0</v>
      </c>
      <c r="C279" s="70"/>
      <c r="D279" s="70"/>
      <c r="E279" s="52"/>
    </row>
    <row r="280">
      <c r="A280" s="77">
        <v>45537.0</v>
      </c>
      <c r="C280" s="70"/>
      <c r="D280" s="70"/>
      <c r="E280" s="52"/>
    </row>
    <row r="281">
      <c r="A281" s="77">
        <v>45538.0</v>
      </c>
      <c r="C281" s="70"/>
      <c r="D281" s="6">
        <v>1020.0</v>
      </c>
      <c r="E281" s="52"/>
    </row>
    <row r="282">
      <c r="A282" s="77">
        <v>45539.0</v>
      </c>
      <c r="C282" s="70"/>
      <c r="D282" s="6">
        <v>1140.0</v>
      </c>
      <c r="E282" s="52"/>
    </row>
    <row r="283">
      <c r="A283" s="77">
        <v>45540.0</v>
      </c>
      <c r="B283" s="4">
        <v>3530.0</v>
      </c>
      <c r="C283" s="70"/>
      <c r="D283" s="70"/>
      <c r="E283" s="52"/>
    </row>
    <row r="284">
      <c r="A284" s="77">
        <v>45541.0</v>
      </c>
      <c r="C284" s="70"/>
      <c r="D284" s="6">
        <v>1510.0</v>
      </c>
      <c r="E284" s="52"/>
    </row>
    <row r="285">
      <c r="A285" s="77">
        <v>45542.0</v>
      </c>
      <c r="C285" s="70"/>
      <c r="D285" s="70"/>
      <c r="E285" s="52"/>
    </row>
    <row r="286">
      <c r="A286" s="77">
        <v>45543.0</v>
      </c>
      <c r="C286" s="70"/>
      <c r="D286" s="70"/>
      <c r="E286" s="52"/>
    </row>
    <row r="287">
      <c r="A287" s="77">
        <v>45544.0</v>
      </c>
      <c r="C287" s="70"/>
      <c r="D287" s="6">
        <v>1070.0</v>
      </c>
      <c r="E287" s="52"/>
    </row>
    <row r="288">
      <c r="A288" s="77">
        <v>45545.0</v>
      </c>
      <c r="C288" s="70"/>
      <c r="D288" s="6">
        <v>1510.0</v>
      </c>
      <c r="E288" s="52"/>
    </row>
    <row r="289">
      <c r="A289" s="77">
        <v>45546.0</v>
      </c>
      <c r="C289" s="70"/>
      <c r="D289" s="70"/>
      <c r="E289" s="52"/>
    </row>
    <row r="290">
      <c r="A290" s="77">
        <v>45547.0</v>
      </c>
      <c r="B290" s="4">
        <v>3970.0</v>
      </c>
      <c r="C290" s="70"/>
      <c r="D290" s="70"/>
      <c r="E290" s="52"/>
    </row>
    <row r="291">
      <c r="A291" s="77">
        <v>45548.0</v>
      </c>
      <c r="B291" s="4">
        <v>3860.0</v>
      </c>
      <c r="C291" s="70"/>
      <c r="D291" s="6">
        <v>1630.0</v>
      </c>
      <c r="E291" s="52"/>
    </row>
    <row r="292">
      <c r="A292" s="77">
        <v>45549.0</v>
      </c>
      <c r="C292" s="70"/>
      <c r="D292" s="70"/>
      <c r="E292" s="52"/>
    </row>
    <row r="293">
      <c r="A293" s="77">
        <v>45550.0</v>
      </c>
      <c r="C293" s="70"/>
      <c r="D293" s="70"/>
      <c r="E293" s="52"/>
    </row>
    <row r="294">
      <c r="A294" s="77">
        <v>45551.0</v>
      </c>
      <c r="C294" s="70"/>
      <c r="D294" s="6">
        <v>2180.0</v>
      </c>
      <c r="E294" s="52"/>
    </row>
    <row r="295">
      <c r="A295" s="77">
        <v>45552.0</v>
      </c>
      <c r="C295" s="70"/>
      <c r="D295" s="70"/>
      <c r="E295" s="52"/>
    </row>
    <row r="296">
      <c r="A296" s="77">
        <v>45553.0</v>
      </c>
      <c r="C296" s="70"/>
      <c r="D296" s="6">
        <v>2560.0</v>
      </c>
      <c r="E296" s="52"/>
    </row>
    <row r="297">
      <c r="A297" s="77">
        <v>45554.0</v>
      </c>
      <c r="C297" s="70"/>
      <c r="D297" s="6">
        <v>2950.0</v>
      </c>
      <c r="E297" s="52"/>
    </row>
    <row r="298">
      <c r="A298" s="77">
        <v>45555.0</v>
      </c>
      <c r="B298" s="4">
        <v>2630.0</v>
      </c>
      <c r="C298" s="70"/>
      <c r="D298" s="70"/>
      <c r="E298" s="52"/>
    </row>
    <row r="299">
      <c r="A299" s="77">
        <v>45556.0</v>
      </c>
      <c r="C299" s="70"/>
      <c r="D299" s="70"/>
      <c r="E299" s="52"/>
    </row>
    <row r="300">
      <c r="A300" s="77">
        <v>45557.0</v>
      </c>
      <c r="C300" s="70"/>
      <c r="D300" s="70"/>
      <c r="E300" s="52"/>
    </row>
    <row r="301">
      <c r="A301" s="77">
        <v>45558.0</v>
      </c>
      <c r="B301" s="4">
        <v>3870.0</v>
      </c>
      <c r="C301" s="70"/>
      <c r="D301" s="70"/>
      <c r="E301" s="52"/>
    </row>
    <row r="302">
      <c r="A302" s="77">
        <v>45559.0</v>
      </c>
      <c r="B302" s="4">
        <v>2420.0</v>
      </c>
      <c r="C302" s="70"/>
      <c r="D302" s="6">
        <v>1400.0</v>
      </c>
      <c r="E302" s="52"/>
    </row>
    <row r="303">
      <c r="A303" s="77">
        <v>45560.0</v>
      </c>
      <c r="B303" s="4">
        <v>2610.0</v>
      </c>
      <c r="C303" s="70"/>
      <c r="D303" s="6">
        <v>1950.0</v>
      </c>
      <c r="E303" s="52"/>
    </row>
    <row r="304">
      <c r="A304" s="77">
        <v>45561.0</v>
      </c>
      <c r="D304" s="6">
        <v>2540.0</v>
      </c>
      <c r="E304" s="52"/>
    </row>
    <row r="305">
      <c r="A305" s="77">
        <v>45562.0</v>
      </c>
      <c r="D305" s="6">
        <v>2500.0</v>
      </c>
      <c r="E305" s="52"/>
    </row>
    <row r="306">
      <c r="A306" s="77">
        <v>45563.0</v>
      </c>
      <c r="C306" s="70"/>
      <c r="D306" s="70"/>
      <c r="E306" s="52"/>
    </row>
    <row r="307">
      <c r="A307" s="77">
        <v>45564.0</v>
      </c>
      <c r="C307" s="70"/>
      <c r="D307" s="70"/>
      <c r="E307" s="52"/>
    </row>
    <row r="308">
      <c r="A308" s="77">
        <v>45565.0</v>
      </c>
      <c r="C308" s="70"/>
      <c r="D308" s="6">
        <v>3020.0</v>
      </c>
      <c r="E308" s="52"/>
    </row>
    <row r="309">
      <c r="A309" s="77">
        <v>45566.0</v>
      </c>
      <c r="C309" s="70"/>
      <c r="D309" s="6">
        <v>1650.0</v>
      </c>
      <c r="E309" s="52"/>
    </row>
    <row r="310">
      <c r="A310" s="77">
        <v>45567.0</v>
      </c>
      <c r="B310" s="4">
        <v>3630.0</v>
      </c>
      <c r="C310" s="70"/>
      <c r="D310" s="6">
        <v>2480.0</v>
      </c>
      <c r="E310" s="52"/>
    </row>
    <row r="311">
      <c r="A311" s="77">
        <v>45568.0</v>
      </c>
      <c r="C311" s="70"/>
      <c r="D311" s="6">
        <v>1410.0</v>
      </c>
      <c r="E311" s="52"/>
    </row>
    <row r="312">
      <c r="A312" s="77">
        <v>45569.0</v>
      </c>
      <c r="C312" s="70"/>
      <c r="D312" s="70"/>
      <c r="E312" s="52"/>
    </row>
    <row r="313">
      <c r="A313" s="77">
        <v>45570.0</v>
      </c>
      <c r="D313" s="70"/>
      <c r="E313" s="52"/>
    </row>
    <row r="314">
      <c r="A314" s="77">
        <v>45571.0</v>
      </c>
      <c r="E314" s="52"/>
    </row>
    <row r="315">
      <c r="A315" s="77">
        <v>45572.0</v>
      </c>
      <c r="C315" s="70"/>
      <c r="D315" s="6">
        <v>2590.0</v>
      </c>
      <c r="E315" s="52"/>
    </row>
    <row r="316">
      <c r="A316" s="77">
        <v>45573.0</v>
      </c>
      <c r="C316" s="70"/>
      <c r="D316" s="6">
        <v>2070.0</v>
      </c>
      <c r="E316" s="52"/>
    </row>
    <row r="317">
      <c r="A317" s="77">
        <v>45574.0</v>
      </c>
      <c r="E317" s="52"/>
    </row>
    <row r="318">
      <c r="A318" s="77">
        <v>45575.0</v>
      </c>
      <c r="E318" s="52"/>
    </row>
    <row r="319">
      <c r="A319" s="77">
        <v>45576.0</v>
      </c>
      <c r="C319" s="70"/>
      <c r="D319" s="70"/>
      <c r="E319" s="52"/>
    </row>
    <row r="320">
      <c r="A320" s="77">
        <v>45577.0</v>
      </c>
      <c r="C320" s="70"/>
      <c r="D320" s="70"/>
      <c r="E320" s="52"/>
    </row>
    <row r="321">
      <c r="A321" s="77">
        <v>45578.0</v>
      </c>
      <c r="C321" s="70"/>
      <c r="D321" s="70"/>
      <c r="E321" s="52"/>
    </row>
    <row r="322">
      <c r="A322" s="77">
        <v>45579.0</v>
      </c>
      <c r="C322" s="70"/>
      <c r="D322" s="70"/>
      <c r="E322" s="52"/>
    </row>
    <row r="323">
      <c r="A323" s="77">
        <v>45580.0</v>
      </c>
      <c r="C323" s="70"/>
      <c r="D323" s="70"/>
      <c r="E323" s="52"/>
    </row>
    <row r="324">
      <c r="A324" s="77">
        <v>45581.0</v>
      </c>
      <c r="C324" s="70"/>
      <c r="D324" s="70"/>
      <c r="E324" s="52"/>
    </row>
    <row r="325">
      <c r="A325" s="77">
        <v>45582.0</v>
      </c>
      <c r="C325" s="70"/>
      <c r="D325" s="70"/>
      <c r="E325" s="52"/>
    </row>
    <row r="326">
      <c r="A326" s="77">
        <v>45583.0</v>
      </c>
      <c r="C326" s="70"/>
      <c r="D326" s="70"/>
      <c r="E326" s="52"/>
    </row>
    <row r="327">
      <c r="A327" s="77">
        <v>45584.0</v>
      </c>
      <c r="C327" s="70"/>
      <c r="D327" s="70"/>
      <c r="E327" s="52"/>
    </row>
    <row r="328">
      <c r="A328" s="77">
        <v>45585.0</v>
      </c>
      <c r="C328" s="70"/>
      <c r="D328" s="70"/>
      <c r="E328" s="52"/>
    </row>
    <row r="329">
      <c r="A329" s="77">
        <v>45586.0</v>
      </c>
      <c r="C329" s="70"/>
      <c r="D329" s="6">
        <v>2580.0</v>
      </c>
      <c r="E329" s="52"/>
    </row>
    <row r="330">
      <c r="A330" s="77">
        <v>45587.0</v>
      </c>
      <c r="C330" s="70"/>
      <c r="D330" s="6">
        <v>1320.0</v>
      </c>
      <c r="E330" s="52"/>
    </row>
    <row r="331">
      <c r="A331" s="77">
        <v>45588.0</v>
      </c>
      <c r="C331" s="70"/>
      <c r="D331" s="6">
        <v>2560.0</v>
      </c>
      <c r="E331" s="52"/>
    </row>
    <row r="332">
      <c r="A332" s="77">
        <v>45589.0</v>
      </c>
      <c r="C332" s="70"/>
      <c r="D332" s="6">
        <v>1550.0</v>
      </c>
      <c r="E332" s="52"/>
    </row>
    <row r="333">
      <c r="A333" s="77">
        <v>45590.0</v>
      </c>
      <c r="C333" s="70"/>
      <c r="D333" s="6">
        <v>3640.0</v>
      </c>
      <c r="E333" s="52"/>
    </row>
    <row r="334">
      <c r="A334" s="77">
        <v>45591.0</v>
      </c>
      <c r="C334" s="70"/>
      <c r="D334" s="70"/>
      <c r="E334" s="52"/>
    </row>
    <row r="335">
      <c r="A335" s="77">
        <v>45592.0</v>
      </c>
      <c r="C335" s="70"/>
      <c r="D335" s="70"/>
      <c r="E335" s="52"/>
    </row>
    <row r="336">
      <c r="A336" s="77">
        <v>45593.0</v>
      </c>
      <c r="C336" s="70"/>
      <c r="D336" s="6">
        <v>3530.0</v>
      </c>
      <c r="E336" s="52"/>
    </row>
    <row r="337">
      <c r="A337" s="77">
        <v>45594.0</v>
      </c>
      <c r="C337" s="70"/>
      <c r="D337" s="6">
        <v>3720.0</v>
      </c>
      <c r="E337" s="52"/>
    </row>
    <row r="338">
      <c r="A338" s="77">
        <v>45595.0</v>
      </c>
      <c r="C338" s="70"/>
      <c r="D338" s="70"/>
      <c r="E338" s="52"/>
    </row>
    <row r="339">
      <c r="A339" s="77">
        <v>45596.0</v>
      </c>
      <c r="C339" s="70"/>
      <c r="D339" s="6">
        <v>3670.0</v>
      </c>
      <c r="E339" s="52"/>
    </row>
    <row r="340">
      <c r="A340" s="77">
        <v>45597.0</v>
      </c>
      <c r="C340" s="70"/>
      <c r="D340" s="6">
        <v>3480.0</v>
      </c>
      <c r="E340" s="52"/>
    </row>
    <row r="341">
      <c r="A341" s="77">
        <v>45598.0</v>
      </c>
      <c r="C341" s="70"/>
      <c r="D341" s="70"/>
      <c r="E341" s="52"/>
    </row>
    <row r="342">
      <c r="A342" s="77">
        <v>45599.0</v>
      </c>
      <c r="C342" s="70"/>
      <c r="D342" s="70"/>
      <c r="E342" s="52"/>
    </row>
    <row r="343">
      <c r="A343" s="77">
        <v>45600.0</v>
      </c>
      <c r="C343" s="70"/>
      <c r="D343" s="6">
        <v>3680.0</v>
      </c>
      <c r="E343" s="52"/>
    </row>
    <row r="344">
      <c r="A344" s="77">
        <v>45601.0</v>
      </c>
      <c r="C344" s="70"/>
      <c r="D344" s="70"/>
      <c r="E344" s="52"/>
    </row>
    <row r="345">
      <c r="A345" s="77">
        <v>45602.0</v>
      </c>
      <c r="C345" s="70"/>
      <c r="D345" s="6">
        <v>3520.0</v>
      </c>
      <c r="E345" s="52"/>
    </row>
    <row r="346">
      <c r="A346" s="77">
        <v>45603.0</v>
      </c>
      <c r="C346" s="70"/>
      <c r="D346" s="6">
        <v>3280.0</v>
      </c>
      <c r="E346" s="52"/>
    </row>
    <row r="347">
      <c r="A347" s="77">
        <v>45604.0</v>
      </c>
      <c r="C347" s="70"/>
      <c r="D347" s="6">
        <v>3150.0</v>
      </c>
      <c r="E347" s="52"/>
    </row>
    <row r="348">
      <c r="A348" s="77">
        <v>45605.0</v>
      </c>
      <c r="C348" s="70"/>
      <c r="D348" s="70"/>
      <c r="E348" s="52"/>
    </row>
    <row r="349">
      <c r="A349" s="77">
        <v>45606.0</v>
      </c>
      <c r="C349" s="70"/>
      <c r="D349" s="70"/>
      <c r="E349" s="52"/>
    </row>
    <row r="350">
      <c r="A350" s="77">
        <v>45607.0</v>
      </c>
      <c r="C350" s="70"/>
      <c r="D350" s="6">
        <v>3210.0</v>
      </c>
      <c r="E350" s="52"/>
    </row>
    <row r="351">
      <c r="A351" s="77">
        <v>45608.0</v>
      </c>
      <c r="C351" s="70"/>
      <c r="D351" s="70"/>
      <c r="E351" s="52"/>
    </row>
    <row r="352">
      <c r="A352" s="77">
        <v>45609.0</v>
      </c>
      <c r="C352" s="70"/>
      <c r="D352" s="6">
        <v>3630.0</v>
      </c>
      <c r="E352" s="52"/>
    </row>
    <row r="353">
      <c r="A353" s="77">
        <v>45610.0</v>
      </c>
      <c r="C353" s="70"/>
      <c r="D353" s="6">
        <v>3610.0</v>
      </c>
      <c r="E353" s="52"/>
    </row>
    <row r="354">
      <c r="A354" s="77">
        <v>45611.0</v>
      </c>
      <c r="C354" s="70"/>
      <c r="D354" s="6">
        <v>3550.0</v>
      </c>
      <c r="E354" s="52"/>
    </row>
    <row r="355">
      <c r="A355" s="77">
        <v>45612.0</v>
      </c>
      <c r="C355" s="70"/>
      <c r="D355" s="70"/>
      <c r="E355" s="52"/>
    </row>
    <row r="356">
      <c r="A356" s="77">
        <v>45613.0</v>
      </c>
      <c r="C356" s="70"/>
      <c r="D356" s="70"/>
      <c r="E356" s="52"/>
    </row>
    <row r="357">
      <c r="A357" s="77">
        <v>45614.0</v>
      </c>
      <c r="C357" s="70"/>
      <c r="D357" s="6">
        <v>3770.0</v>
      </c>
      <c r="E357" s="52"/>
    </row>
    <row r="358">
      <c r="A358" s="77">
        <v>45615.0</v>
      </c>
      <c r="C358" s="70"/>
      <c r="D358" s="6">
        <v>3550.0</v>
      </c>
      <c r="E358" s="52"/>
    </row>
    <row r="359">
      <c r="A359" s="77">
        <v>45616.0</v>
      </c>
      <c r="C359" s="70"/>
      <c r="D359" s="6">
        <v>3720.0</v>
      </c>
      <c r="E359" s="52"/>
    </row>
    <row r="360">
      <c r="A360" s="77">
        <v>45617.0</v>
      </c>
      <c r="C360" s="70"/>
      <c r="D360" s="6">
        <v>3580.0</v>
      </c>
      <c r="E360" s="52"/>
    </row>
    <row r="361">
      <c r="A361" s="77">
        <v>45618.0</v>
      </c>
      <c r="C361" s="70"/>
      <c r="D361" s="6">
        <v>3490.0</v>
      </c>
      <c r="E361" s="52"/>
    </row>
    <row r="362">
      <c r="A362" s="77">
        <v>45619.0</v>
      </c>
      <c r="C362" s="70"/>
      <c r="D362" s="70"/>
      <c r="E362" s="52"/>
    </row>
    <row r="363">
      <c r="A363" s="77">
        <v>45620.0</v>
      </c>
      <c r="C363" s="70"/>
      <c r="D363" s="70"/>
      <c r="E363" s="52"/>
    </row>
    <row r="364">
      <c r="A364" s="77">
        <v>45621.0</v>
      </c>
      <c r="C364" s="70"/>
      <c r="D364" s="6">
        <v>3850.0</v>
      </c>
      <c r="E364" s="52"/>
    </row>
    <row r="365">
      <c r="A365" s="77">
        <v>45622.0</v>
      </c>
      <c r="C365" s="70"/>
      <c r="D365" s="6">
        <v>3580.0</v>
      </c>
      <c r="E365" s="52"/>
    </row>
    <row r="366">
      <c r="A366" s="77">
        <v>45623.0</v>
      </c>
      <c r="C366" s="70"/>
      <c r="D366" s="6">
        <v>3570.0</v>
      </c>
      <c r="E366" s="52"/>
    </row>
    <row r="367">
      <c r="A367" s="77">
        <v>45624.0</v>
      </c>
      <c r="C367" s="70"/>
      <c r="D367" s="70"/>
      <c r="E367" s="52"/>
    </row>
    <row r="368">
      <c r="A368" s="77">
        <v>45625.0</v>
      </c>
      <c r="C368" s="70"/>
      <c r="D368" s="70"/>
      <c r="E368" s="52"/>
    </row>
    <row r="369">
      <c r="A369" s="77">
        <v>45626.0</v>
      </c>
      <c r="C369" s="70"/>
      <c r="D369" s="70"/>
      <c r="E369" s="52"/>
    </row>
    <row r="370">
      <c r="A370" s="77">
        <v>45627.0</v>
      </c>
      <c r="C370" s="70"/>
      <c r="D370" s="70"/>
      <c r="E370" s="52"/>
    </row>
    <row r="371">
      <c r="A371" s="77">
        <v>45628.0</v>
      </c>
      <c r="C371" s="70"/>
      <c r="D371" s="6">
        <v>3800.0</v>
      </c>
      <c r="E371" s="52"/>
    </row>
    <row r="372">
      <c r="A372" s="77">
        <v>45629.0</v>
      </c>
      <c r="C372" s="70"/>
      <c r="D372" s="6">
        <v>3680.0</v>
      </c>
      <c r="E372" s="52"/>
    </row>
    <row r="373">
      <c r="A373" s="77">
        <v>45630.0</v>
      </c>
      <c r="C373" s="70"/>
      <c r="D373" s="6">
        <v>3420.0</v>
      </c>
      <c r="E373" s="52"/>
    </row>
    <row r="374">
      <c r="A374" s="77">
        <v>45631.0</v>
      </c>
      <c r="C374" s="70"/>
      <c r="D374" s="6">
        <v>3610.0</v>
      </c>
      <c r="E374" s="52"/>
    </row>
    <row r="375">
      <c r="A375" s="77">
        <v>45632.0</v>
      </c>
      <c r="C375" s="70"/>
      <c r="D375" s="6">
        <v>4000.0</v>
      </c>
      <c r="E375" s="52"/>
    </row>
    <row r="376">
      <c r="A376" s="77">
        <v>45633.0</v>
      </c>
      <c r="C376" s="70"/>
      <c r="D376" s="70"/>
      <c r="E376" s="52"/>
    </row>
    <row r="377">
      <c r="A377" s="77">
        <v>45634.0</v>
      </c>
      <c r="C377" s="70"/>
      <c r="D377" s="70"/>
      <c r="E377" s="52"/>
    </row>
    <row r="378">
      <c r="A378" s="77">
        <v>45635.0</v>
      </c>
      <c r="E378" s="52"/>
    </row>
    <row r="379">
      <c r="A379" s="77">
        <v>45636.0</v>
      </c>
      <c r="D379" s="4">
        <v>3520.0</v>
      </c>
      <c r="E379" s="52"/>
    </row>
    <row r="380">
      <c r="A380" s="77">
        <v>45637.0</v>
      </c>
      <c r="C380" s="70"/>
      <c r="D380" s="6">
        <v>3140.0</v>
      </c>
      <c r="E380" s="52"/>
    </row>
    <row r="381">
      <c r="A381" s="77">
        <v>45638.0</v>
      </c>
      <c r="C381" s="70"/>
      <c r="D381" s="6">
        <v>3200.0</v>
      </c>
      <c r="E381" s="52"/>
    </row>
    <row r="382">
      <c r="A382" s="77">
        <v>45639.0</v>
      </c>
      <c r="C382" s="70"/>
      <c r="D382" s="70"/>
      <c r="E382" s="52"/>
    </row>
    <row r="383">
      <c r="A383" s="77">
        <v>45640.0</v>
      </c>
      <c r="C383" s="70"/>
      <c r="D383" s="70"/>
      <c r="E383" s="52"/>
    </row>
    <row r="384">
      <c r="A384" s="77">
        <v>45641.0</v>
      </c>
      <c r="C384" s="70"/>
      <c r="D384" s="70"/>
      <c r="E384" s="52"/>
    </row>
    <row r="385">
      <c r="A385" s="77">
        <v>45642.0</v>
      </c>
      <c r="C385" s="70"/>
      <c r="D385" s="6">
        <v>3430.0</v>
      </c>
      <c r="E385" s="52"/>
    </row>
    <row r="386">
      <c r="A386" s="77">
        <v>45643.0</v>
      </c>
      <c r="C386" s="70"/>
      <c r="D386" s="6">
        <v>3330.0</v>
      </c>
      <c r="E386" s="52"/>
    </row>
    <row r="387">
      <c r="A387" s="77">
        <v>45644.0</v>
      </c>
      <c r="C387" s="70"/>
      <c r="D387" s="6">
        <v>3430.0</v>
      </c>
      <c r="E387" s="52"/>
    </row>
    <row r="388">
      <c r="A388" s="77">
        <v>45645.0</v>
      </c>
      <c r="C388" s="70"/>
      <c r="D388" s="6">
        <v>3610.0</v>
      </c>
      <c r="E388" s="52"/>
    </row>
    <row r="389">
      <c r="A389" s="77">
        <v>45646.0</v>
      </c>
      <c r="C389" s="70"/>
      <c r="D389" s="6">
        <v>3360.0</v>
      </c>
      <c r="E389" s="52"/>
    </row>
    <row r="390">
      <c r="A390" s="77">
        <v>45647.0</v>
      </c>
      <c r="C390" s="70"/>
      <c r="D390" s="70"/>
      <c r="E390" s="52"/>
    </row>
    <row r="391">
      <c r="A391" s="77">
        <v>45648.0</v>
      </c>
      <c r="C391" s="70"/>
      <c r="D391" s="70"/>
      <c r="E391" s="52"/>
    </row>
    <row r="392">
      <c r="A392" s="77">
        <v>45649.0</v>
      </c>
      <c r="C392" s="70"/>
      <c r="D392" s="6">
        <v>3360.0</v>
      </c>
      <c r="E392" s="52"/>
    </row>
    <row r="393">
      <c r="A393" s="77">
        <v>45650.0</v>
      </c>
      <c r="C393" s="70"/>
      <c r="D393" s="70"/>
      <c r="E393" s="52"/>
    </row>
    <row r="394">
      <c r="A394" s="77">
        <v>45651.0</v>
      </c>
      <c r="C394" s="70"/>
      <c r="D394" s="70"/>
      <c r="E394" s="52"/>
    </row>
    <row r="395">
      <c r="A395" s="77">
        <v>45652.0</v>
      </c>
      <c r="C395" s="70"/>
      <c r="D395" s="6">
        <v>3420.0</v>
      </c>
      <c r="E395" s="52"/>
    </row>
    <row r="396">
      <c r="A396" s="77">
        <v>45653.0</v>
      </c>
      <c r="C396" s="70"/>
      <c r="D396" s="6">
        <v>3670.0</v>
      </c>
      <c r="E396" s="52"/>
    </row>
    <row r="397">
      <c r="A397" s="77">
        <v>45654.0</v>
      </c>
      <c r="C397" s="70"/>
      <c r="D397" s="70"/>
      <c r="E397" s="52"/>
    </row>
    <row r="398">
      <c r="A398" s="77">
        <v>45655.0</v>
      </c>
      <c r="C398" s="70"/>
      <c r="D398" s="70"/>
      <c r="E398" s="52"/>
    </row>
    <row r="399">
      <c r="A399" s="77">
        <v>45656.0</v>
      </c>
      <c r="C399" s="70"/>
      <c r="D399" s="6">
        <v>3520.0</v>
      </c>
      <c r="E399" s="52"/>
    </row>
    <row r="400">
      <c r="A400" s="77">
        <v>45657.0</v>
      </c>
      <c r="C400" s="70"/>
      <c r="D400" s="70"/>
      <c r="E400" s="52"/>
    </row>
    <row r="401">
      <c r="A401" s="77">
        <v>45658.0</v>
      </c>
      <c r="E401" s="52"/>
    </row>
    <row r="402">
      <c r="A402" s="77">
        <v>45659.0</v>
      </c>
      <c r="D402" s="4">
        <v>3460.0</v>
      </c>
      <c r="E402" s="52"/>
    </row>
    <row r="403">
      <c r="A403" s="77">
        <v>45660.0</v>
      </c>
      <c r="C403" s="70"/>
      <c r="D403" s="6">
        <v>2720.0</v>
      </c>
      <c r="E403" s="52"/>
    </row>
    <row r="404">
      <c r="A404" s="77">
        <v>45661.0</v>
      </c>
      <c r="C404" s="70"/>
      <c r="D404" s="70"/>
      <c r="E404" s="52"/>
    </row>
    <row r="405">
      <c r="A405" s="77">
        <v>45662.0</v>
      </c>
      <c r="C405" s="70"/>
      <c r="E405" s="52"/>
    </row>
    <row r="406">
      <c r="A406" s="77">
        <v>45663.0</v>
      </c>
      <c r="D406" s="6">
        <v>2500.0</v>
      </c>
      <c r="E406" s="52"/>
    </row>
    <row r="407">
      <c r="A407" s="77">
        <v>45664.0</v>
      </c>
      <c r="D407" s="4">
        <v>2390.0</v>
      </c>
      <c r="E407" s="52"/>
    </row>
    <row r="408">
      <c r="A408" s="77">
        <v>45665.0</v>
      </c>
      <c r="E408" s="52"/>
    </row>
    <row r="409">
      <c r="A409" s="77">
        <v>45666.0</v>
      </c>
      <c r="C409" s="70"/>
      <c r="D409" s="70"/>
      <c r="E409" s="52"/>
    </row>
    <row r="410">
      <c r="A410" s="77">
        <v>45667.0</v>
      </c>
      <c r="C410" s="70"/>
      <c r="D410" s="6">
        <v>2360.0</v>
      </c>
      <c r="E410" s="52"/>
    </row>
    <row r="411">
      <c r="A411" s="77">
        <v>45668.0</v>
      </c>
      <c r="C411" s="70"/>
      <c r="D411" s="70"/>
      <c r="E411" s="52"/>
    </row>
    <row r="412">
      <c r="A412" s="77">
        <v>45669.0</v>
      </c>
      <c r="C412" s="70"/>
      <c r="D412" s="70"/>
      <c r="E412" s="52"/>
    </row>
    <row r="413">
      <c r="A413" s="77">
        <v>45670.0</v>
      </c>
      <c r="C413" s="70"/>
      <c r="D413" s="6">
        <v>3660.0</v>
      </c>
      <c r="E413" s="52"/>
    </row>
    <row r="414">
      <c r="A414" s="77">
        <v>45671.0</v>
      </c>
      <c r="C414" s="70"/>
      <c r="D414" s="6">
        <v>3370.0</v>
      </c>
      <c r="E414" s="52"/>
    </row>
    <row r="415">
      <c r="A415" s="77">
        <v>45672.0</v>
      </c>
      <c r="C415" s="70"/>
      <c r="D415" s="70"/>
      <c r="E415" s="52"/>
    </row>
    <row r="416">
      <c r="A416" s="77">
        <v>45673.0</v>
      </c>
      <c r="C416" s="70"/>
      <c r="D416" s="6">
        <v>3360.0</v>
      </c>
      <c r="E416" s="52"/>
    </row>
    <row r="417">
      <c r="A417" s="77">
        <v>45674.0</v>
      </c>
      <c r="C417" s="70"/>
      <c r="D417" s="6">
        <v>3330.0</v>
      </c>
      <c r="E417" s="52"/>
    </row>
    <row r="418">
      <c r="A418" s="77">
        <v>45675.0</v>
      </c>
      <c r="C418" s="70"/>
      <c r="D418" s="70"/>
      <c r="E418" s="52"/>
    </row>
    <row r="419">
      <c r="A419" s="77">
        <v>45676.0</v>
      </c>
      <c r="C419" s="70"/>
      <c r="D419" s="70"/>
      <c r="E419" s="52"/>
    </row>
    <row r="420">
      <c r="A420" s="77">
        <v>45677.0</v>
      </c>
      <c r="C420" s="70"/>
      <c r="D420" s="70"/>
      <c r="E420" s="52"/>
    </row>
    <row r="421">
      <c r="A421" s="77">
        <v>45678.0</v>
      </c>
      <c r="C421" s="70"/>
      <c r="D421" s="6">
        <v>3530.0</v>
      </c>
      <c r="E421" s="52"/>
    </row>
    <row r="422">
      <c r="A422" s="77">
        <v>45679.0</v>
      </c>
      <c r="C422" s="70"/>
      <c r="D422" s="6">
        <v>3370.0</v>
      </c>
      <c r="E422" s="52"/>
    </row>
    <row r="423">
      <c r="A423" s="77">
        <v>45680.0</v>
      </c>
      <c r="C423" s="70"/>
      <c r="D423" s="6">
        <v>3270.0</v>
      </c>
      <c r="E423" s="52"/>
    </row>
    <row r="424">
      <c r="A424" s="77">
        <v>45681.0</v>
      </c>
      <c r="C424" s="70"/>
      <c r="D424" s="6">
        <v>3590.0</v>
      </c>
      <c r="E424" s="52"/>
    </row>
    <row r="425">
      <c r="A425" s="77">
        <v>45682.0</v>
      </c>
      <c r="C425" s="70"/>
      <c r="D425" s="70"/>
      <c r="E425" s="52"/>
    </row>
    <row r="426">
      <c r="A426" s="77">
        <v>45683.0</v>
      </c>
      <c r="C426" s="70"/>
      <c r="D426" s="70"/>
      <c r="E426" s="52"/>
    </row>
    <row r="427">
      <c r="A427" s="77">
        <v>45684.0</v>
      </c>
      <c r="C427" s="70"/>
      <c r="D427" s="6">
        <v>3470.0</v>
      </c>
      <c r="E427" s="52"/>
    </row>
    <row r="428">
      <c r="A428" s="77">
        <v>45685.0</v>
      </c>
      <c r="C428" s="70"/>
      <c r="D428" s="6">
        <v>3940.0</v>
      </c>
      <c r="E428" s="52"/>
    </row>
    <row r="429">
      <c r="A429" s="77">
        <v>45686.0</v>
      </c>
      <c r="C429" s="70"/>
      <c r="D429" s="6">
        <v>2090.0</v>
      </c>
      <c r="E429" s="52"/>
    </row>
    <row r="430">
      <c r="A430" s="77">
        <v>45687.0</v>
      </c>
      <c r="C430" s="70"/>
      <c r="D430" s="6">
        <v>3270.0</v>
      </c>
      <c r="E430" s="52"/>
    </row>
    <row r="431">
      <c r="A431" s="77">
        <v>45688.0</v>
      </c>
      <c r="C431" s="70"/>
      <c r="D431" s="6">
        <v>3180.0</v>
      </c>
      <c r="E431" s="52"/>
    </row>
    <row r="432">
      <c r="A432" s="77">
        <v>45689.0</v>
      </c>
      <c r="C432" s="70"/>
      <c r="D432" s="70"/>
      <c r="E432" s="52"/>
    </row>
    <row r="433">
      <c r="A433" s="77">
        <v>45690.0</v>
      </c>
      <c r="C433" s="70"/>
      <c r="D433" s="70"/>
      <c r="E433" s="52"/>
    </row>
    <row r="434">
      <c r="A434" s="77">
        <v>45691.0</v>
      </c>
      <c r="C434" s="70"/>
      <c r="D434" s="6">
        <v>3540.0</v>
      </c>
      <c r="E434" s="52"/>
    </row>
    <row r="435">
      <c r="A435" s="77">
        <v>45692.0</v>
      </c>
      <c r="C435" s="70"/>
      <c r="D435" s="6">
        <v>3500.0</v>
      </c>
      <c r="E435" s="52"/>
    </row>
    <row r="436">
      <c r="A436" s="77">
        <v>45693.0</v>
      </c>
      <c r="C436" s="70"/>
      <c r="D436" s="6">
        <v>4090.0</v>
      </c>
      <c r="E436" s="52"/>
    </row>
    <row r="437">
      <c r="A437" s="77">
        <v>45694.0</v>
      </c>
      <c r="C437" s="70"/>
      <c r="D437" s="6">
        <v>3440.0</v>
      </c>
      <c r="E437" s="52"/>
    </row>
    <row r="438">
      <c r="A438" s="77">
        <v>45695.0</v>
      </c>
      <c r="C438" s="70"/>
      <c r="D438" s="6">
        <v>3550.0</v>
      </c>
      <c r="E438" s="52"/>
    </row>
    <row r="439">
      <c r="A439" s="77">
        <v>45696.0</v>
      </c>
      <c r="C439" s="70"/>
      <c r="D439" s="70"/>
      <c r="E439" s="52"/>
    </row>
    <row r="440">
      <c r="A440" s="77">
        <v>45697.0</v>
      </c>
      <c r="C440" s="70"/>
      <c r="D440" s="70"/>
      <c r="E440" s="52"/>
    </row>
    <row r="441">
      <c r="A441" s="77">
        <v>45698.0</v>
      </c>
      <c r="C441" s="70"/>
      <c r="D441" s="6">
        <v>3480.0</v>
      </c>
      <c r="E441" s="52"/>
    </row>
    <row r="442">
      <c r="A442" s="77">
        <v>45699.0</v>
      </c>
      <c r="C442" s="70"/>
      <c r="D442" s="70"/>
      <c r="E442" s="52"/>
    </row>
    <row r="443">
      <c r="A443" s="77">
        <v>45700.0</v>
      </c>
      <c r="C443" s="70"/>
      <c r="D443" s="6">
        <v>3510.0</v>
      </c>
      <c r="E443" s="52"/>
    </row>
    <row r="444">
      <c r="A444" s="77">
        <v>45701.0</v>
      </c>
      <c r="C444" s="70"/>
      <c r="D444" s="6">
        <v>3540.0</v>
      </c>
      <c r="E444" s="52"/>
    </row>
    <row r="445">
      <c r="A445" s="77">
        <v>45702.0</v>
      </c>
      <c r="C445" s="70"/>
      <c r="D445" s="70"/>
      <c r="E445" s="52"/>
    </row>
    <row r="446">
      <c r="A446" s="77">
        <v>45703.0</v>
      </c>
      <c r="C446" s="70"/>
      <c r="D446" s="70"/>
      <c r="E446" s="52"/>
    </row>
    <row r="447">
      <c r="A447" s="77">
        <v>45704.0</v>
      </c>
      <c r="C447" s="70"/>
      <c r="D447" s="70"/>
      <c r="E447" s="52"/>
    </row>
    <row r="448">
      <c r="A448" s="77">
        <v>45705.0</v>
      </c>
      <c r="C448" s="70"/>
      <c r="D448" s="6">
        <v>3630.0</v>
      </c>
      <c r="E448" s="52"/>
    </row>
    <row r="449">
      <c r="A449" s="77">
        <v>45706.0</v>
      </c>
      <c r="C449" s="70"/>
      <c r="D449" s="6">
        <v>3540.0</v>
      </c>
      <c r="E449" s="52"/>
    </row>
    <row r="450">
      <c r="A450" s="77">
        <v>45707.0</v>
      </c>
      <c r="C450" s="70"/>
      <c r="D450" s="6">
        <v>3480.0</v>
      </c>
      <c r="E450" s="52"/>
    </row>
    <row r="451">
      <c r="A451" s="77">
        <v>45708.0</v>
      </c>
      <c r="C451" s="70"/>
      <c r="D451" s="70"/>
      <c r="E451" s="52"/>
    </row>
    <row r="452">
      <c r="A452" s="77">
        <v>45709.0</v>
      </c>
      <c r="C452" s="70"/>
      <c r="D452" s="6">
        <v>3390.0</v>
      </c>
      <c r="E452" s="52"/>
    </row>
    <row r="453">
      <c r="A453" s="77">
        <v>45710.0</v>
      </c>
      <c r="C453" s="70"/>
      <c r="D453" s="70"/>
      <c r="E453" s="52"/>
    </row>
    <row r="454">
      <c r="A454" s="77">
        <v>45711.0</v>
      </c>
      <c r="C454" s="70"/>
      <c r="D454" s="70"/>
      <c r="E454" s="52"/>
    </row>
    <row r="455">
      <c r="A455" s="77">
        <v>45712.0</v>
      </c>
      <c r="C455" s="70"/>
      <c r="D455" s="70"/>
      <c r="E455" s="52"/>
    </row>
    <row r="456">
      <c r="A456" s="77">
        <v>45713.0</v>
      </c>
      <c r="C456" s="70"/>
      <c r="D456" s="6">
        <v>3600.0</v>
      </c>
      <c r="E456" s="52"/>
    </row>
    <row r="457">
      <c r="A457" s="77">
        <v>45714.0</v>
      </c>
      <c r="C457" s="70"/>
      <c r="D457" s="6">
        <v>3450.0</v>
      </c>
      <c r="E457" s="52"/>
    </row>
    <row r="458">
      <c r="A458" s="77">
        <v>45715.0</v>
      </c>
      <c r="C458" s="70"/>
      <c r="D458" s="6">
        <v>3400.0</v>
      </c>
      <c r="E458" s="52"/>
    </row>
    <row r="459">
      <c r="A459" s="77">
        <v>45716.0</v>
      </c>
      <c r="C459" s="70"/>
      <c r="D459" s="6">
        <v>3470.0</v>
      </c>
      <c r="E459" s="52"/>
    </row>
    <row r="460">
      <c r="A460" s="77">
        <v>45717.0</v>
      </c>
      <c r="C460" s="70"/>
      <c r="D460" s="70"/>
      <c r="E460" s="52"/>
    </row>
    <row r="461">
      <c r="A461" s="77">
        <v>45718.0</v>
      </c>
      <c r="C461" s="70"/>
      <c r="D461" s="70"/>
      <c r="E461" s="52"/>
    </row>
    <row r="462">
      <c r="A462" s="77">
        <v>45719.0</v>
      </c>
      <c r="C462" s="70"/>
      <c r="D462" s="6">
        <v>3550.0</v>
      </c>
      <c r="E462" s="52"/>
    </row>
    <row r="463">
      <c r="A463" s="77">
        <v>45720.0</v>
      </c>
      <c r="C463" s="70"/>
      <c r="D463" s="6">
        <v>3580.0</v>
      </c>
      <c r="E463" s="52"/>
    </row>
    <row r="464">
      <c r="A464" s="77">
        <v>45721.0</v>
      </c>
      <c r="C464" s="70"/>
      <c r="D464" s="6">
        <v>3500.0</v>
      </c>
      <c r="E464" s="52"/>
    </row>
    <row r="465">
      <c r="A465" s="77">
        <v>45722.0</v>
      </c>
      <c r="C465" s="70"/>
      <c r="D465" s="6">
        <v>3730.0</v>
      </c>
      <c r="E465" s="52"/>
    </row>
    <row r="466">
      <c r="A466" s="77">
        <v>45723.0</v>
      </c>
      <c r="C466" s="70"/>
      <c r="D466" s="70"/>
      <c r="E466" s="52"/>
    </row>
    <row r="467">
      <c r="A467" s="77">
        <v>45724.0</v>
      </c>
      <c r="C467" s="70"/>
      <c r="D467" s="70"/>
      <c r="E467" s="52"/>
    </row>
    <row r="468">
      <c r="A468" s="77">
        <v>45725.0</v>
      </c>
      <c r="C468" s="70"/>
      <c r="D468" s="70"/>
      <c r="E468" s="52"/>
    </row>
    <row r="469">
      <c r="A469" s="77">
        <v>45726.0</v>
      </c>
      <c r="C469" s="70"/>
      <c r="D469" s="6">
        <v>2530.0</v>
      </c>
      <c r="E469" s="52"/>
    </row>
    <row r="470">
      <c r="A470" s="77">
        <v>45727.0</v>
      </c>
      <c r="C470" s="70"/>
      <c r="D470" s="6">
        <v>2510.0</v>
      </c>
      <c r="E470" s="52"/>
    </row>
    <row r="471">
      <c r="A471" s="77">
        <v>45728.0</v>
      </c>
      <c r="C471" s="70"/>
      <c r="D471" s="6">
        <v>3980.0</v>
      </c>
      <c r="E471" s="52"/>
    </row>
    <row r="472">
      <c r="A472" s="77">
        <v>45729.0</v>
      </c>
      <c r="C472" s="70"/>
      <c r="D472" s="6">
        <v>3500.0</v>
      </c>
      <c r="E472" s="52"/>
    </row>
    <row r="473">
      <c r="A473" s="77">
        <v>45730.0</v>
      </c>
      <c r="C473" s="70"/>
      <c r="D473" s="70"/>
      <c r="E473" s="52"/>
    </row>
    <row r="474">
      <c r="A474" s="77">
        <v>45731.0</v>
      </c>
      <c r="C474" s="70"/>
      <c r="D474" s="70"/>
      <c r="E474" s="52"/>
    </row>
    <row r="475">
      <c r="A475" s="77">
        <v>45732.0</v>
      </c>
      <c r="C475" s="70"/>
      <c r="D475" s="70"/>
      <c r="E475" s="52"/>
    </row>
    <row r="476">
      <c r="A476" s="77">
        <v>45733.0</v>
      </c>
      <c r="C476" s="70"/>
      <c r="D476" s="70"/>
      <c r="E476" s="52"/>
    </row>
    <row r="477">
      <c r="A477" s="77">
        <v>45734.0</v>
      </c>
      <c r="C477" s="70"/>
      <c r="D477" s="6">
        <v>3390.0</v>
      </c>
      <c r="E477" s="52"/>
    </row>
    <row r="478">
      <c r="A478" s="77">
        <v>45735.0</v>
      </c>
      <c r="C478" s="70"/>
      <c r="D478" s="6">
        <v>3290.0</v>
      </c>
      <c r="E478" s="52"/>
    </row>
    <row r="479">
      <c r="A479" s="77">
        <v>45736.0</v>
      </c>
      <c r="C479" s="70"/>
      <c r="D479" s="6">
        <v>3250.0</v>
      </c>
      <c r="E479" s="52"/>
    </row>
    <row r="480">
      <c r="A480" s="77">
        <v>45737.0</v>
      </c>
      <c r="C480" s="70"/>
      <c r="D480" s="70"/>
      <c r="E480" s="52"/>
    </row>
    <row r="481">
      <c r="A481" s="77">
        <v>45738.0</v>
      </c>
      <c r="C481" s="70"/>
      <c r="D481" s="70"/>
      <c r="E481" s="52"/>
    </row>
    <row r="482">
      <c r="A482" s="77">
        <v>45739.0</v>
      </c>
      <c r="C482" s="70"/>
      <c r="D482" s="70"/>
      <c r="E482" s="52"/>
    </row>
    <row r="483">
      <c r="A483" s="77">
        <v>45740.0</v>
      </c>
      <c r="C483" s="70"/>
      <c r="D483" s="6">
        <v>3170.0</v>
      </c>
      <c r="E483" s="52"/>
    </row>
    <row r="484">
      <c r="A484" s="77">
        <v>45741.0</v>
      </c>
      <c r="C484" s="70"/>
      <c r="D484" s="6">
        <v>3630.0</v>
      </c>
      <c r="E484" s="52"/>
    </row>
    <row r="485">
      <c r="A485" s="77">
        <v>45742.0</v>
      </c>
      <c r="C485" s="70"/>
      <c r="E485" s="52"/>
    </row>
    <row r="486">
      <c r="A486" s="77">
        <v>45743.0</v>
      </c>
      <c r="C486" s="70"/>
      <c r="D486" s="6">
        <v>3470.0</v>
      </c>
      <c r="E486" s="52"/>
    </row>
    <row r="487">
      <c r="A487" s="77">
        <v>45744.0</v>
      </c>
      <c r="C487" s="70"/>
      <c r="D487" s="6">
        <v>2540.0</v>
      </c>
      <c r="E487" s="52"/>
    </row>
    <row r="488">
      <c r="A488" s="77">
        <v>45745.0</v>
      </c>
      <c r="C488" s="70"/>
      <c r="E488" s="52"/>
    </row>
    <row r="489">
      <c r="A489" s="77">
        <v>45746.0</v>
      </c>
      <c r="C489" s="70"/>
      <c r="D489" s="70"/>
      <c r="E489" s="52"/>
    </row>
    <row r="490">
      <c r="A490" s="77">
        <v>45747.0</v>
      </c>
      <c r="C490" s="70"/>
      <c r="D490" s="6">
        <v>2530.0</v>
      </c>
      <c r="E490" s="52"/>
    </row>
    <row r="491">
      <c r="A491" s="77">
        <v>45748.0</v>
      </c>
      <c r="C491" s="70"/>
      <c r="D491" s="6">
        <v>3410.0</v>
      </c>
      <c r="E491" s="52"/>
    </row>
    <row r="492">
      <c r="A492" s="77">
        <v>45749.0</v>
      </c>
      <c r="C492" s="70"/>
      <c r="D492" s="6">
        <v>3460.0</v>
      </c>
      <c r="E492" s="52"/>
    </row>
    <row r="493">
      <c r="A493" s="77">
        <v>45750.0</v>
      </c>
      <c r="C493" s="70"/>
      <c r="D493" s="6">
        <v>2760.0</v>
      </c>
      <c r="E493" s="52"/>
    </row>
    <row r="494">
      <c r="A494" s="77">
        <v>45751.0</v>
      </c>
      <c r="C494" s="70"/>
      <c r="D494" s="6">
        <v>3450.0</v>
      </c>
      <c r="E494" s="52"/>
    </row>
    <row r="495">
      <c r="A495" s="77">
        <v>45752.0</v>
      </c>
      <c r="C495" s="70"/>
      <c r="D495" s="70"/>
      <c r="E495" s="52"/>
    </row>
    <row r="496">
      <c r="A496" s="77">
        <v>45753.0</v>
      </c>
      <c r="E496" s="52"/>
    </row>
    <row r="497">
      <c r="A497" s="77">
        <v>45754.0</v>
      </c>
      <c r="D497" s="4">
        <v>3450.0</v>
      </c>
      <c r="E497" s="52"/>
    </row>
    <row r="498">
      <c r="A498" s="77">
        <v>45755.0</v>
      </c>
      <c r="D498" s="4">
        <v>3510.0</v>
      </c>
      <c r="E498" s="52"/>
    </row>
    <row r="499">
      <c r="A499" s="77">
        <v>45756.0</v>
      </c>
      <c r="C499" s="70"/>
      <c r="D499" s="6">
        <v>3240.0</v>
      </c>
      <c r="E499" s="52"/>
    </row>
    <row r="500">
      <c r="A500" s="77">
        <v>45757.0</v>
      </c>
      <c r="C500" s="70"/>
      <c r="D500" s="70"/>
      <c r="E500" s="52"/>
    </row>
    <row r="501">
      <c r="A501" s="77">
        <v>45758.0</v>
      </c>
      <c r="C501" s="70"/>
      <c r="D501" s="6">
        <v>3210.0</v>
      </c>
      <c r="E501" s="52"/>
    </row>
    <row r="502">
      <c r="A502" s="77">
        <v>45759.0</v>
      </c>
      <c r="C502" s="70"/>
      <c r="D502" s="70"/>
      <c r="E502" s="52"/>
    </row>
    <row r="503">
      <c r="A503" s="77">
        <v>45760.0</v>
      </c>
      <c r="C503" s="70"/>
      <c r="D503" s="70"/>
      <c r="E503" s="52"/>
    </row>
    <row r="504">
      <c r="A504" s="77">
        <v>45761.0</v>
      </c>
      <c r="C504" s="70"/>
      <c r="D504" s="6">
        <v>3340.0</v>
      </c>
      <c r="E504" s="52"/>
    </row>
    <row r="505">
      <c r="A505" s="77">
        <v>45762.0</v>
      </c>
      <c r="C505" s="70"/>
      <c r="D505" s="6">
        <v>3190.0</v>
      </c>
      <c r="E505" s="52"/>
    </row>
    <row r="506">
      <c r="A506" s="77">
        <v>45763.0</v>
      </c>
      <c r="C506" s="70"/>
      <c r="D506" s="6">
        <v>3410.0</v>
      </c>
      <c r="E506" s="52"/>
    </row>
    <row r="507">
      <c r="A507" s="77">
        <v>45764.0</v>
      </c>
      <c r="C507" s="70"/>
      <c r="D507" s="6">
        <v>2560.0</v>
      </c>
      <c r="E507" s="52"/>
    </row>
    <row r="508">
      <c r="A508" s="77">
        <v>45765.0</v>
      </c>
      <c r="C508" s="70"/>
      <c r="D508" s="6">
        <v>2410.0</v>
      </c>
      <c r="E508" s="52"/>
    </row>
    <row r="509">
      <c r="A509" s="77">
        <v>45766.0</v>
      </c>
      <c r="C509" s="70"/>
      <c r="D509" s="70"/>
      <c r="E509" s="52"/>
    </row>
    <row r="510">
      <c r="A510" s="77">
        <v>45767.0</v>
      </c>
      <c r="C510" s="70"/>
      <c r="D510" s="70"/>
      <c r="E510" s="52"/>
    </row>
    <row r="511">
      <c r="A511" s="77">
        <v>45768.0</v>
      </c>
      <c r="C511" s="70"/>
      <c r="D511" s="6">
        <v>3200.0</v>
      </c>
      <c r="E511" s="52"/>
    </row>
    <row r="512">
      <c r="A512" s="77">
        <v>45769.0</v>
      </c>
      <c r="C512" s="70"/>
      <c r="D512" s="70"/>
      <c r="E512" s="52"/>
    </row>
    <row r="513">
      <c r="A513" s="77">
        <v>45770.0</v>
      </c>
      <c r="C513" s="70"/>
      <c r="D513" s="6">
        <v>3170.0</v>
      </c>
      <c r="E513" s="52"/>
    </row>
    <row r="514">
      <c r="A514" s="77">
        <v>45771.0</v>
      </c>
      <c r="C514" s="70"/>
      <c r="D514" s="6">
        <v>3420.0</v>
      </c>
      <c r="E514" s="52"/>
    </row>
    <row r="515">
      <c r="A515" s="77">
        <v>45772.0</v>
      </c>
      <c r="C515" s="70"/>
      <c r="D515" s="6">
        <v>3430.0</v>
      </c>
      <c r="E515" s="52"/>
    </row>
    <row r="516">
      <c r="A516" s="77">
        <v>45773.0</v>
      </c>
      <c r="C516" s="70"/>
      <c r="D516" s="70"/>
      <c r="E516" s="52"/>
    </row>
    <row r="517">
      <c r="A517" s="77">
        <v>45774.0</v>
      </c>
      <c r="C517" s="70"/>
      <c r="D517" s="70"/>
      <c r="E517" s="52"/>
    </row>
    <row r="518">
      <c r="A518" s="77">
        <v>45775.0</v>
      </c>
      <c r="C518" s="70"/>
      <c r="D518" s="6">
        <v>3380.0</v>
      </c>
      <c r="E518" s="52"/>
    </row>
    <row r="519">
      <c r="A519" s="77">
        <v>45776.0</v>
      </c>
      <c r="C519" s="70"/>
      <c r="D519" s="6">
        <v>3430.0</v>
      </c>
      <c r="E519" s="52"/>
    </row>
    <row r="520">
      <c r="A520" s="77">
        <v>45777.0</v>
      </c>
      <c r="C520" s="70"/>
      <c r="D520" s="6">
        <v>3240.0</v>
      </c>
      <c r="E520" s="52"/>
    </row>
    <row r="521">
      <c r="A521" s="77">
        <v>45778.0</v>
      </c>
      <c r="C521" s="70"/>
      <c r="D521" s="6">
        <v>3310.0</v>
      </c>
      <c r="E521" s="52"/>
    </row>
    <row r="522">
      <c r="A522" s="77">
        <v>45779.0</v>
      </c>
      <c r="D522" s="4">
        <v>3420.0</v>
      </c>
      <c r="E522" s="52"/>
    </row>
    <row r="523">
      <c r="A523" s="77">
        <v>45780.0</v>
      </c>
      <c r="E523" s="52"/>
    </row>
    <row r="524">
      <c r="A524" s="77">
        <v>45781.0</v>
      </c>
      <c r="E524" s="52"/>
    </row>
    <row r="525">
      <c r="A525" s="77">
        <v>45782.0</v>
      </c>
      <c r="C525" s="70"/>
      <c r="D525" s="70"/>
      <c r="E525" s="52"/>
    </row>
    <row r="526">
      <c r="A526" s="77">
        <v>45783.0</v>
      </c>
      <c r="C526" s="70"/>
      <c r="D526" s="6">
        <v>2510.0</v>
      </c>
      <c r="E526" s="52"/>
    </row>
    <row r="527">
      <c r="A527" s="77">
        <v>45784.0</v>
      </c>
      <c r="C527" s="70"/>
      <c r="D527" s="6">
        <v>2580.0</v>
      </c>
      <c r="E527" s="52"/>
    </row>
    <row r="528">
      <c r="A528" s="77">
        <v>45785.0</v>
      </c>
      <c r="C528" s="70"/>
      <c r="D528" s="6">
        <v>3690.0</v>
      </c>
      <c r="E528" s="52"/>
    </row>
    <row r="529">
      <c r="A529" s="77">
        <v>45786.0</v>
      </c>
      <c r="D529" s="4">
        <v>3520.0</v>
      </c>
      <c r="E529" s="52"/>
    </row>
    <row r="530">
      <c r="A530" s="77">
        <v>45787.0</v>
      </c>
      <c r="E530" s="52"/>
    </row>
    <row r="531">
      <c r="A531" s="77">
        <v>45788.0</v>
      </c>
      <c r="E531" s="52"/>
    </row>
    <row r="532">
      <c r="A532" s="77">
        <v>45789.0</v>
      </c>
      <c r="C532" s="70"/>
      <c r="D532" s="6">
        <v>3460.0</v>
      </c>
      <c r="E532" s="52"/>
    </row>
    <row r="533">
      <c r="A533" s="77">
        <v>45790.0</v>
      </c>
      <c r="C533" s="70"/>
      <c r="D533" s="6">
        <v>2810.0</v>
      </c>
      <c r="E533" s="52"/>
    </row>
    <row r="534">
      <c r="A534" s="77">
        <v>45791.0</v>
      </c>
      <c r="C534" s="70"/>
      <c r="D534" s="6">
        <v>2510.0</v>
      </c>
      <c r="E534" s="52"/>
    </row>
    <row r="535">
      <c r="A535" s="77">
        <v>45792.0</v>
      </c>
      <c r="C535" s="70"/>
      <c r="D535" s="6">
        <v>2440.0</v>
      </c>
      <c r="E535" s="52"/>
    </row>
    <row r="536">
      <c r="A536" s="77">
        <v>45793.0</v>
      </c>
      <c r="C536" s="70"/>
      <c r="D536" s="6">
        <v>2500.0</v>
      </c>
      <c r="E536" s="52"/>
    </row>
    <row r="537">
      <c r="A537" s="77"/>
      <c r="C537" s="70"/>
      <c r="D537" s="70"/>
      <c r="E537" s="52"/>
    </row>
    <row r="538">
      <c r="A538" s="71"/>
      <c r="C538" s="70"/>
      <c r="D538" s="70"/>
      <c r="E538" s="52"/>
    </row>
    <row r="539">
      <c r="A539" s="71"/>
      <c r="C539" s="70"/>
      <c r="D539" s="70"/>
      <c r="E539" s="52"/>
    </row>
    <row r="540">
      <c r="A540" s="71"/>
      <c r="C540" s="70"/>
      <c r="D540" s="70"/>
      <c r="E540" s="52"/>
    </row>
    <row r="541">
      <c r="A541" s="71"/>
      <c r="C541" s="70"/>
      <c r="D541" s="70"/>
      <c r="E541" s="52"/>
    </row>
    <row r="542">
      <c r="A542" s="71"/>
      <c r="C542" s="70"/>
      <c r="D542" s="70"/>
      <c r="E542" s="52"/>
    </row>
    <row r="543">
      <c r="A543" s="71"/>
      <c r="C543" s="70"/>
      <c r="D543" s="70"/>
      <c r="E543" s="52"/>
    </row>
    <row r="544">
      <c r="A544" s="71"/>
      <c r="C544" s="70"/>
      <c r="D544" s="70"/>
      <c r="E544" s="52"/>
    </row>
    <row r="545">
      <c r="A545" s="71"/>
      <c r="C545" s="70"/>
      <c r="D545" s="70"/>
      <c r="E545" s="52"/>
    </row>
    <row r="546">
      <c r="A546" s="71"/>
      <c r="B546" s="4" t="s">
        <v>1760</v>
      </c>
      <c r="C546" s="6" t="s">
        <v>1761</v>
      </c>
      <c r="D546" s="6" t="s">
        <v>1762</v>
      </c>
      <c r="E546" s="52"/>
    </row>
    <row r="547">
      <c r="A547" s="4" t="s">
        <v>1763</v>
      </c>
      <c r="B547" s="83">
        <f>count(B7:B312)</f>
        <v>132</v>
      </c>
      <c r="C547" s="70">
        <f>count(C4:C312)</f>
        <v>7</v>
      </c>
      <c r="D547" s="70">
        <f>count(D4:D536)</f>
        <v>142</v>
      </c>
      <c r="E547" s="52"/>
    </row>
    <row r="548">
      <c r="A548" s="4" t="s">
        <v>1764</v>
      </c>
      <c r="B548" s="83">
        <f t="shared" ref="B548:C548" si="1">average(B4:B312)</f>
        <v>3296.136364</v>
      </c>
      <c r="C548" s="70">
        <f t="shared" si="1"/>
        <v>2717.142857</v>
      </c>
      <c r="D548" s="70">
        <f>average(D4:D536)</f>
        <v>3116.267606</v>
      </c>
      <c r="E548" s="52"/>
    </row>
    <row r="549">
      <c r="A549" s="4" t="s">
        <v>1765</v>
      </c>
      <c r="C549" s="70"/>
      <c r="D549" s="70">
        <f>STDEV(D281:D536)</f>
        <v>671.1634961</v>
      </c>
      <c r="E549" s="52"/>
    </row>
    <row r="550">
      <c r="A550" s="71"/>
      <c r="C550" s="70"/>
      <c r="D550" s="70"/>
      <c r="E550" s="52"/>
    </row>
    <row r="551">
      <c r="A551" s="71"/>
      <c r="C551" s="70"/>
      <c r="D551" s="70"/>
      <c r="E551" s="52"/>
    </row>
    <row r="552">
      <c r="A552" s="71"/>
      <c r="C552" s="70"/>
      <c r="D552" s="70"/>
      <c r="E552" s="52"/>
    </row>
    <row r="553">
      <c r="A553" s="71"/>
      <c r="C553" s="70"/>
      <c r="D553" s="70"/>
      <c r="E553" s="52"/>
    </row>
    <row r="554">
      <c r="A554" s="71"/>
      <c r="C554" s="70"/>
      <c r="D554" s="70"/>
      <c r="E554" s="52"/>
    </row>
    <row r="555">
      <c r="A555" s="71"/>
      <c r="C555" s="70"/>
      <c r="D555" s="70"/>
      <c r="E555" s="52"/>
    </row>
    <row r="556">
      <c r="A556" s="71"/>
      <c r="C556" s="70"/>
      <c r="D556" s="70"/>
      <c r="E556" s="52"/>
    </row>
    <row r="557">
      <c r="A557" s="71"/>
      <c r="C557" s="70"/>
      <c r="D557" s="70"/>
      <c r="E557" s="52"/>
    </row>
    <row r="558">
      <c r="A558" s="71"/>
      <c r="C558" s="70"/>
      <c r="D558" s="70"/>
      <c r="E558" s="52"/>
    </row>
    <row r="559">
      <c r="A559" s="71"/>
      <c r="C559" s="70"/>
      <c r="D559" s="70"/>
      <c r="E559" s="52"/>
    </row>
    <row r="560">
      <c r="A560" s="71"/>
      <c r="C560" s="70"/>
      <c r="D560" s="70"/>
      <c r="E560" s="52"/>
    </row>
    <row r="561">
      <c r="A561" s="71"/>
      <c r="C561" s="70"/>
      <c r="D561" s="70"/>
      <c r="E561" s="52"/>
    </row>
    <row r="562">
      <c r="A562" s="71"/>
      <c r="C562" s="70"/>
      <c r="D562" s="70"/>
      <c r="E562" s="52"/>
    </row>
    <row r="563">
      <c r="A563" s="71"/>
      <c r="C563" s="70"/>
      <c r="D563" s="70"/>
      <c r="E563" s="52"/>
    </row>
    <row r="564">
      <c r="A564" s="71"/>
      <c r="C564" s="70"/>
      <c r="D564" s="70"/>
      <c r="E564" s="52"/>
    </row>
    <row r="565">
      <c r="A565" s="71"/>
      <c r="C565" s="70"/>
      <c r="D565" s="70"/>
      <c r="E565" s="52"/>
    </row>
    <row r="566">
      <c r="A566" s="71"/>
      <c r="C566" s="70"/>
      <c r="D566" s="70"/>
      <c r="E566" s="52"/>
    </row>
    <row r="567">
      <c r="A567" s="71"/>
      <c r="C567" s="70"/>
      <c r="D567" s="70"/>
      <c r="E567" s="52"/>
    </row>
    <row r="568">
      <c r="A568" s="71"/>
      <c r="C568" s="70"/>
      <c r="D568" s="70"/>
      <c r="E568" s="52"/>
    </row>
    <row r="569">
      <c r="A569" s="71"/>
      <c r="C569" s="70"/>
      <c r="D569" s="70"/>
      <c r="E569" s="52"/>
    </row>
    <row r="570">
      <c r="A570" s="71"/>
      <c r="C570" s="70"/>
      <c r="D570" s="70"/>
      <c r="E570" s="52"/>
    </row>
    <row r="571">
      <c r="A571" s="71"/>
      <c r="C571" s="70"/>
      <c r="D571" s="70"/>
      <c r="E571" s="52"/>
    </row>
    <row r="572">
      <c r="A572" s="71"/>
      <c r="C572" s="70"/>
      <c r="D572" s="70"/>
      <c r="E572" s="52"/>
    </row>
    <row r="573">
      <c r="A573" s="71"/>
      <c r="C573" s="70"/>
      <c r="D573" s="70"/>
      <c r="E573" s="52"/>
    </row>
    <row r="574">
      <c r="A574" s="71"/>
      <c r="C574" s="70"/>
      <c r="D574" s="70"/>
      <c r="E574" s="52"/>
    </row>
    <row r="575">
      <c r="A575" s="71"/>
      <c r="C575" s="70"/>
      <c r="D575" s="70"/>
      <c r="E575" s="52"/>
    </row>
    <row r="576">
      <c r="A576" s="71"/>
      <c r="C576" s="70"/>
      <c r="D576" s="70"/>
      <c r="E576" s="52"/>
    </row>
    <row r="577">
      <c r="A577" s="71"/>
      <c r="C577" s="70"/>
      <c r="D577" s="70"/>
      <c r="E577" s="52"/>
    </row>
    <row r="578">
      <c r="A578" s="71"/>
      <c r="C578" s="70"/>
      <c r="D578" s="70"/>
      <c r="E578" s="52"/>
    </row>
    <row r="579">
      <c r="A579" s="71"/>
      <c r="C579" s="70"/>
      <c r="D579" s="70"/>
      <c r="E579" s="52"/>
    </row>
    <row r="580">
      <c r="A580" s="71"/>
      <c r="C580" s="70"/>
      <c r="D580" s="70"/>
      <c r="E580" s="52"/>
    </row>
    <row r="581">
      <c r="A581" s="71"/>
      <c r="C581" s="70"/>
      <c r="D581" s="70"/>
      <c r="E581" s="52"/>
    </row>
    <row r="582">
      <c r="A582" s="71"/>
      <c r="C582" s="70"/>
      <c r="D582" s="70"/>
      <c r="E582" s="52"/>
    </row>
    <row r="583">
      <c r="A583" s="71"/>
      <c r="C583" s="70"/>
      <c r="D583" s="70"/>
      <c r="E583" s="52"/>
    </row>
    <row r="584">
      <c r="A584" s="71"/>
      <c r="C584" s="70"/>
      <c r="D584" s="70"/>
      <c r="E584" s="52"/>
    </row>
    <row r="585">
      <c r="A585" s="71"/>
      <c r="C585" s="70"/>
      <c r="D585" s="70"/>
      <c r="E585" s="52"/>
    </row>
    <row r="586">
      <c r="A586" s="71"/>
      <c r="C586" s="70"/>
      <c r="D586" s="70"/>
      <c r="E586" s="52"/>
    </row>
    <row r="587">
      <c r="A587" s="71"/>
      <c r="C587" s="70"/>
      <c r="D587" s="70"/>
      <c r="E587" s="52"/>
    </row>
    <row r="588">
      <c r="A588" s="71"/>
      <c r="C588" s="70"/>
      <c r="D588" s="70"/>
      <c r="E588" s="52"/>
    </row>
    <row r="589">
      <c r="A589" s="71"/>
      <c r="C589" s="70"/>
      <c r="D589" s="70"/>
      <c r="E589" s="52"/>
    </row>
    <row r="590">
      <c r="A590" s="71"/>
      <c r="C590" s="70"/>
      <c r="D590" s="70"/>
      <c r="E590" s="52"/>
    </row>
    <row r="591">
      <c r="A591" s="71"/>
      <c r="C591" s="70"/>
      <c r="D591" s="70"/>
      <c r="E591" s="52"/>
    </row>
    <row r="592">
      <c r="A592" s="71"/>
      <c r="C592" s="70"/>
      <c r="D592" s="70"/>
      <c r="E592" s="52"/>
    </row>
    <row r="593">
      <c r="A593" s="71"/>
      <c r="C593" s="70"/>
      <c r="D593" s="70"/>
      <c r="E593" s="52"/>
    </row>
    <row r="594">
      <c r="A594" s="71"/>
      <c r="C594" s="70"/>
      <c r="D594" s="70"/>
      <c r="E594" s="52"/>
    </row>
    <row r="595">
      <c r="A595" s="71"/>
      <c r="C595" s="70"/>
      <c r="D595" s="70"/>
      <c r="E595" s="52"/>
    </row>
    <row r="596">
      <c r="A596" s="71"/>
      <c r="C596" s="70"/>
      <c r="D596" s="70"/>
      <c r="E596" s="52"/>
    </row>
    <row r="597">
      <c r="A597" s="71"/>
      <c r="C597" s="70"/>
      <c r="D597" s="70"/>
      <c r="E597" s="52"/>
    </row>
    <row r="598">
      <c r="A598" s="71"/>
      <c r="C598" s="70"/>
      <c r="D598" s="70"/>
      <c r="E598" s="52"/>
    </row>
    <row r="599">
      <c r="A599" s="71"/>
      <c r="C599" s="70"/>
      <c r="D599" s="70"/>
      <c r="E599" s="52"/>
    </row>
    <row r="600">
      <c r="A600" s="71"/>
      <c r="C600" s="70"/>
      <c r="D600" s="70"/>
      <c r="E600" s="52"/>
    </row>
    <row r="601">
      <c r="A601" s="71"/>
      <c r="C601" s="70"/>
      <c r="D601" s="70"/>
      <c r="E601" s="52"/>
    </row>
    <row r="602">
      <c r="A602" s="71"/>
      <c r="C602" s="70"/>
      <c r="D602" s="70"/>
      <c r="E602" s="52"/>
    </row>
    <row r="603">
      <c r="A603" s="71"/>
      <c r="C603" s="70"/>
      <c r="D603" s="70"/>
      <c r="E603" s="52"/>
    </row>
    <row r="604">
      <c r="A604" s="71"/>
      <c r="C604" s="70"/>
      <c r="D604" s="70"/>
      <c r="E604" s="52"/>
    </row>
    <row r="605">
      <c r="A605" s="71"/>
      <c r="C605" s="70"/>
      <c r="D605" s="70"/>
      <c r="E605" s="52"/>
    </row>
    <row r="606">
      <c r="A606" s="71"/>
      <c r="C606" s="70"/>
      <c r="D606" s="70"/>
      <c r="E606" s="52"/>
    </row>
    <row r="607">
      <c r="A607" s="71"/>
      <c r="C607" s="70"/>
      <c r="D607" s="70"/>
      <c r="E607" s="52"/>
    </row>
    <row r="608">
      <c r="A608" s="71"/>
      <c r="C608" s="70"/>
      <c r="D608" s="70"/>
      <c r="E608" s="52"/>
    </row>
    <row r="609">
      <c r="A609" s="71"/>
      <c r="C609" s="70"/>
      <c r="D609" s="70"/>
      <c r="E609" s="52"/>
    </row>
    <row r="610">
      <c r="A610" s="71"/>
      <c r="C610" s="70"/>
      <c r="D610" s="70"/>
      <c r="E610" s="52"/>
    </row>
    <row r="611">
      <c r="A611" s="71"/>
      <c r="C611" s="70"/>
      <c r="D611" s="70"/>
      <c r="E611" s="52"/>
    </row>
    <row r="612">
      <c r="A612" s="71"/>
      <c r="C612" s="70"/>
      <c r="D612" s="70"/>
      <c r="E612" s="52"/>
    </row>
    <row r="613">
      <c r="A613" s="71"/>
      <c r="C613" s="70"/>
      <c r="D613" s="70"/>
      <c r="E613" s="52"/>
    </row>
    <row r="614">
      <c r="A614" s="71"/>
      <c r="C614" s="70"/>
      <c r="D614" s="70"/>
      <c r="E614" s="52"/>
    </row>
    <row r="615">
      <c r="A615" s="71"/>
      <c r="C615" s="70"/>
      <c r="D615" s="70"/>
      <c r="E615" s="52"/>
    </row>
    <row r="616">
      <c r="A616" s="71"/>
      <c r="C616" s="70"/>
      <c r="D616" s="70"/>
      <c r="E616" s="52"/>
    </row>
    <row r="617">
      <c r="A617" s="71"/>
      <c r="C617" s="70"/>
      <c r="D617" s="70"/>
      <c r="E617" s="52"/>
    </row>
    <row r="618">
      <c r="A618" s="71"/>
      <c r="C618" s="70"/>
      <c r="D618" s="70"/>
      <c r="E618" s="52"/>
    </row>
    <row r="619">
      <c r="A619" s="71"/>
      <c r="C619" s="70"/>
      <c r="D619" s="70"/>
      <c r="E619" s="52"/>
    </row>
    <row r="620">
      <c r="A620" s="71"/>
      <c r="C620" s="70"/>
      <c r="D620" s="70"/>
      <c r="E620" s="52"/>
    </row>
    <row r="621">
      <c r="A621" s="71"/>
      <c r="C621" s="70"/>
      <c r="D621" s="70"/>
      <c r="E621" s="52"/>
    </row>
    <row r="622">
      <c r="A622" s="71"/>
      <c r="C622" s="70"/>
      <c r="D622" s="70"/>
      <c r="E622" s="52"/>
    </row>
    <row r="623">
      <c r="A623" s="71"/>
      <c r="C623" s="70"/>
      <c r="D623" s="70"/>
      <c r="E623" s="52"/>
    </row>
    <row r="624">
      <c r="A624" s="71"/>
      <c r="C624" s="70"/>
      <c r="D624" s="70"/>
      <c r="E624" s="52"/>
    </row>
    <row r="625">
      <c r="A625" s="71"/>
      <c r="C625" s="70"/>
      <c r="D625" s="70"/>
      <c r="E625" s="52"/>
    </row>
    <row r="626">
      <c r="A626" s="71"/>
      <c r="C626" s="70"/>
      <c r="D626" s="70"/>
      <c r="E626" s="52"/>
    </row>
    <row r="627">
      <c r="A627" s="71"/>
      <c r="C627" s="70"/>
      <c r="D627" s="70"/>
      <c r="E627" s="52"/>
    </row>
    <row r="628">
      <c r="A628" s="71"/>
      <c r="C628" s="70"/>
      <c r="D628" s="70"/>
      <c r="E628" s="52"/>
    </row>
    <row r="629">
      <c r="A629" s="71"/>
      <c r="C629" s="70"/>
      <c r="D629" s="70"/>
      <c r="E629" s="52"/>
    </row>
    <row r="630">
      <c r="A630" s="71"/>
      <c r="C630" s="70"/>
      <c r="D630" s="70"/>
      <c r="E630" s="52"/>
    </row>
    <row r="631">
      <c r="A631" s="71"/>
      <c r="C631" s="70"/>
      <c r="D631" s="70"/>
      <c r="E631" s="52"/>
    </row>
    <row r="632">
      <c r="A632" s="71"/>
      <c r="C632" s="70"/>
      <c r="D632" s="70"/>
      <c r="E632" s="52"/>
    </row>
    <row r="633">
      <c r="A633" s="71"/>
      <c r="C633" s="70"/>
      <c r="D633" s="70"/>
      <c r="E633" s="52"/>
    </row>
    <row r="634">
      <c r="A634" s="71"/>
      <c r="C634" s="70"/>
      <c r="D634" s="70"/>
      <c r="E634" s="52"/>
    </row>
    <row r="635">
      <c r="A635" s="71"/>
      <c r="C635" s="70"/>
      <c r="D635" s="70"/>
      <c r="E635" s="52"/>
    </row>
    <row r="636">
      <c r="A636" s="71"/>
      <c r="C636" s="70"/>
      <c r="D636" s="70"/>
      <c r="E636" s="52"/>
    </row>
    <row r="637">
      <c r="A637" s="71"/>
      <c r="C637" s="70"/>
      <c r="D637" s="70"/>
      <c r="E637" s="52"/>
    </row>
    <row r="638">
      <c r="A638" s="71"/>
      <c r="C638" s="70"/>
      <c r="D638" s="70"/>
      <c r="E638" s="52"/>
    </row>
    <row r="639">
      <c r="A639" s="71"/>
      <c r="C639" s="70"/>
      <c r="D639" s="70"/>
      <c r="E639" s="52"/>
    </row>
    <row r="640">
      <c r="A640" s="71"/>
      <c r="C640" s="70"/>
      <c r="D640" s="70"/>
      <c r="E640" s="52"/>
    </row>
    <row r="641">
      <c r="A641" s="71"/>
      <c r="C641" s="70"/>
      <c r="D641" s="70"/>
      <c r="E641" s="52"/>
    </row>
    <row r="642">
      <c r="A642" s="71"/>
      <c r="C642" s="70"/>
      <c r="D642" s="70"/>
      <c r="E642" s="52"/>
    </row>
    <row r="643">
      <c r="A643" s="71"/>
      <c r="C643" s="70"/>
      <c r="D643" s="70"/>
      <c r="E643" s="52"/>
    </row>
    <row r="644">
      <c r="A644" s="71"/>
      <c r="C644" s="70"/>
      <c r="D644" s="70"/>
      <c r="E644" s="52"/>
    </row>
    <row r="645">
      <c r="A645" s="71"/>
      <c r="C645" s="70"/>
      <c r="D645" s="70"/>
      <c r="E645" s="52"/>
    </row>
    <row r="646">
      <c r="A646" s="71"/>
      <c r="C646" s="70"/>
      <c r="D646" s="70"/>
      <c r="E646" s="52"/>
    </row>
    <row r="647">
      <c r="A647" s="71"/>
      <c r="C647" s="70"/>
      <c r="D647" s="70"/>
      <c r="E647" s="52"/>
    </row>
    <row r="648">
      <c r="A648" s="71"/>
      <c r="C648" s="70"/>
      <c r="D648" s="70"/>
      <c r="E648" s="52"/>
    </row>
    <row r="649">
      <c r="A649" s="71"/>
      <c r="C649" s="70"/>
      <c r="D649" s="70"/>
      <c r="E649" s="52"/>
    </row>
    <row r="650">
      <c r="A650" s="71"/>
      <c r="C650" s="70"/>
      <c r="D650" s="70"/>
      <c r="E650" s="52"/>
    </row>
    <row r="651">
      <c r="A651" s="71"/>
      <c r="C651" s="70"/>
      <c r="D651" s="70"/>
      <c r="E651" s="52"/>
    </row>
    <row r="652">
      <c r="A652" s="71"/>
      <c r="C652" s="70"/>
      <c r="D652" s="70"/>
      <c r="E652" s="52"/>
    </row>
    <row r="653">
      <c r="A653" s="71"/>
      <c r="C653" s="70"/>
      <c r="D653" s="70"/>
      <c r="E653" s="52"/>
    </row>
    <row r="654">
      <c r="A654" s="71"/>
      <c r="C654" s="70"/>
      <c r="D654" s="70"/>
      <c r="E654" s="52"/>
    </row>
    <row r="655">
      <c r="A655" s="71"/>
      <c r="C655" s="70"/>
      <c r="D655" s="70"/>
      <c r="E655" s="52"/>
    </row>
    <row r="656">
      <c r="A656" s="71"/>
      <c r="C656" s="70"/>
      <c r="D656" s="70"/>
      <c r="E656" s="52"/>
    </row>
    <row r="657">
      <c r="A657" s="71"/>
      <c r="C657" s="70"/>
      <c r="D657" s="70"/>
      <c r="E657" s="52"/>
    </row>
    <row r="658">
      <c r="A658" s="71"/>
      <c r="C658" s="70"/>
      <c r="D658" s="70"/>
      <c r="E658" s="52"/>
    </row>
    <row r="659">
      <c r="A659" s="71"/>
      <c r="C659" s="70"/>
      <c r="D659" s="70"/>
      <c r="E659" s="52"/>
    </row>
    <row r="660">
      <c r="A660" s="71"/>
      <c r="C660" s="70"/>
      <c r="D660" s="70"/>
      <c r="E660" s="52"/>
    </row>
    <row r="661">
      <c r="A661" s="71"/>
      <c r="C661" s="70"/>
      <c r="D661" s="70"/>
      <c r="E661" s="52"/>
    </row>
    <row r="662">
      <c r="A662" s="71"/>
      <c r="C662" s="70"/>
      <c r="D662" s="70"/>
      <c r="E662" s="52"/>
    </row>
    <row r="663">
      <c r="A663" s="71"/>
      <c r="C663" s="70"/>
      <c r="D663" s="70"/>
      <c r="E663" s="52"/>
    </row>
    <row r="664">
      <c r="A664" s="71"/>
      <c r="C664" s="70"/>
      <c r="D664" s="70"/>
      <c r="E664" s="52"/>
    </row>
    <row r="665">
      <c r="A665" s="71"/>
      <c r="C665" s="70"/>
      <c r="D665" s="70"/>
      <c r="E665" s="52"/>
    </row>
    <row r="666">
      <c r="A666" s="71"/>
      <c r="C666" s="70"/>
      <c r="D666" s="70"/>
      <c r="E666" s="52"/>
    </row>
    <row r="667">
      <c r="A667" s="71"/>
      <c r="C667" s="70"/>
      <c r="D667" s="70"/>
      <c r="E667" s="52"/>
    </row>
    <row r="668">
      <c r="A668" s="71"/>
      <c r="C668" s="70"/>
      <c r="D668" s="70"/>
      <c r="E668" s="52"/>
    </row>
    <row r="669">
      <c r="A669" s="71"/>
      <c r="C669" s="70"/>
      <c r="D669" s="70"/>
      <c r="E669" s="52"/>
    </row>
    <row r="670">
      <c r="A670" s="71"/>
      <c r="C670" s="70"/>
      <c r="D670" s="70"/>
      <c r="E670" s="52"/>
    </row>
    <row r="671">
      <c r="A671" s="71"/>
      <c r="C671" s="70"/>
      <c r="D671" s="70"/>
      <c r="E671" s="52"/>
    </row>
    <row r="672">
      <c r="A672" s="71"/>
      <c r="C672" s="70"/>
      <c r="D672" s="70"/>
      <c r="E672" s="52"/>
    </row>
    <row r="673">
      <c r="A673" s="71"/>
      <c r="C673" s="70"/>
      <c r="D673" s="70"/>
      <c r="E673" s="52"/>
    </row>
    <row r="674">
      <c r="A674" s="71"/>
      <c r="C674" s="70"/>
      <c r="D674" s="70"/>
      <c r="E674" s="52"/>
    </row>
    <row r="675">
      <c r="A675" s="71"/>
      <c r="C675" s="70"/>
      <c r="D675" s="70"/>
      <c r="E675" s="52"/>
    </row>
    <row r="676">
      <c r="A676" s="71"/>
      <c r="C676" s="70"/>
      <c r="D676" s="70"/>
      <c r="E676" s="52"/>
    </row>
    <row r="677">
      <c r="A677" s="71"/>
      <c r="C677" s="70"/>
      <c r="D677" s="70"/>
      <c r="E677" s="52"/>
    </row>
    <row r="678">
      <c r="A678" s="71"/>
      <c r="C678" s="70"/>
      <c r="D678" s="70"/>
      <c r="E678" s="52"/>
    </row>
    <row r="679">
      <c r="A679" s="71"/>
      <c r="C679" s="70"/>
      <c r="D679" s="70"/>
      <c r="E679" s="52"/>
    </row>
    <row r="680">
      <c r="A680" s="71"/>
      <c r="C680" s="70"/>
      <c r="D680" s="70"/>
      <c r="E680" s="52"/>
    </row>
    <row r="681">
      <c r="A681" s="71"/>
      <c r="C681" s="70"/>
      <c r="D681" s="70"/>
      <c r="E681" s="52"/>
    </row>
    <row r="682">
      <c r="A682" s="71"/>
      <c r="C682" s="70"/>
      <c r="D682" s="70"/>
      <c r="E682" s="52"/>
    </row>
    <row r="683">
      <c r="A683" s="71"/>
      <c r="C683" s="70"/>
      <c r="D683" s="70"/>
      <c r="E683" s="52"/>
    </row>
    <row r="684">
      <c r="A684" s="71"/>
      <c r="C684" s="70"/>
      <c r="D684" s="70"/>
      <c r="E684" s="52"/>
    </row>
    <row r="685">
      <c r="A685" s="71"/>
      <c r="C685" s="70"/>
      <c r="D685" s="70"/>
      <c r="E685" s="52"/>
    </row>
    <row r="686">
      <c r="A686" s="71"/>
      <c r="C686" s="70"/>
      <c r="D686" s="70"/>
      <c r="E686" s="52"/>
    </row>
    <row r="687">
      <c r="A687" s="71"/>
      <c r="C687" s="70"/>
      <c r="D687" s="70"/>
      <c r="E687" s="52"/>
    </row>
    <row r="688">
      <c r="A688" s="71"/>
      <c r="C688" s="70"/>
      <c r="D688" s="70"/>
      <c r="E688" s="52"/>
    </row>
    <row r="689">
      <c r="A689" s="71"/>
      <c r="C689" s="70"/>
      <c r="D689" s="70"/>
      <c r="E689" s="52"/>
    </row>
    <row r="690">
      <c r="A690" s="71"/>
      <c r="C690" s="70"/>
      <c r="D690" s="70"/>
      <c r="E690" s="52"/>
    </row>
    <row r="691">
      <c r="A691" s="71"/>
      <c r="C691" s="70"/>
      <c r="D691" s="70"/>
      <c r="E691" s="52"/>
    </row>
    <row r="692">
      <c r="A692" s="71"/>
      <c r="C692" s="70"/>
      <c r="D692" s="70"/>
      <c r="E692" s="52"/>
    </row>
    <row r="693">
      <c r="A693" s="71"/>
      <c r="C693" s="70"/>
      <c r="D693" s="70"/>
      <c r="E693" s="52"/>
    </row>
    <row r="694">
      <c r="A694" s="71"/>
      <c r="C694" s="70"/>
      <c r="D694" s="70"/>
      <c r="E694" s="52"/>
    </row>
    <row r="695">
      <c r="A695" s="71"/>
      <c r="C695" s="70"/>
      <c r="D695" s="70"/>
      <c r="E695" s="52"/>
    </row>
    <row r="696">
      <c r="A696" s="71"/>
      <c r="C696" s="70"/>
      <c r="D696" s="70"/>
      <c r="E696" s="52"/>
    </row>
    <row r="697">
      <c r="A697" s="71"/>
      <c r="C697" s="70"/>
      <c r="D697" s="70"/>
      <c r="E697" s="52"/>
    </row>
    <row r="698">
      <c r="A698" s="71"/>
      <c r="C698" s="70"/>
      <c r="D698" s="70"/>
      <c r="E698" s="52"/>
    </row>
    <row r="699">
      <c r="A699" s="71"/>
      <c r="C699" s="70"/>
      <c r="D699" s="70"/>
      <c r="E699" s="52"/>
    </row>
    <row r="700">
      <c r="A700" s="71"/>
      <c r="C700" s="70"/>
      <c r="D700" s="70"/>
      <c r="E700" s="52"/>
    </row>
    <row r="701">
      <c r="A701" s="71"/>
      <c r="C701" s="70"/>
      <c r="D701" s="70"/>
      <c r="E701" s="52"/>
    </row>
    <row r="702">
      <c r="A702" s="71"/>
      <c r="C702" s="70"/>
      <c r="D702" s="70"/>
      <c r="E702" s="52"/>
    </row>
    <row r="703">
      <c r="A703" s="71"/>
      <c r="C703" s="70"/>
      <c r="D703" s="70"/>
      <c r="E703" s="52"/>
    </row>
    <row r="704">
      <c r="A704" s="71"/>
      <c r="C704" s="70"/>
      <c r="D704" s="70"/>
      <c r="E704" s="52"/>
    </row>
    <row r="705">
      <c r="A705" s="71"/>
      <c r="C705" s="70"/>
      <c r="D705" s="70"/>
      <c r="E705" s="52"/>
    </row>
    <row r="706">
      <c r="A706" s="71"/>
      <c r="C706" s="70"/>
      <c r="D706" s="70"/>
      <c r="E706" s="52"/>
    </row>
    <row r="707">
      <c r="A707" s="71"/>
      <c r="C707" s="70"/>
      <c r="D707" s="70"/>
      <c r="E707" s="52"/>
    </row>
    <row r="708">
      <c r="A708" s="71"/>
      <c r="C708" s="70"/>
      <c r="D708" s="70"/>
      <c r="E708" s="52"/>
    </row>
    <row r="709">
      <c r="A709" s="71"/>
      <c r="C709" s="70"/>
      <c r="D709" s="70"/>
      <c r="E709" s="52"/>
    </row>
    <row r="710">
      <c r="A710" s="71"/>
      <c r="C710" s="70"/>
      <c r="D710" s="70"/>
      <c r="E710" s="52"/>
    </row>
    <row r="711">
      <c r="A711" s="71"/>
      <c r="C711" s="70"/>
      <c r="D711" s="70"/>
      <c r="E711" s="52"/>
    </row>
    <row r="712">
      <c r="A712" s="71"/>
      <c r="C712" s="70"/>
      <c r="D712" s="70"/>
      <c r="E712" s="52"/>
    </row>
    <row r="713">
      <c r="A713" s="71"/>
      <c r="C713" s="70"/>
      <c r="D713" s="70"/>
      <c r="E713" s="52"/>
    </row>
    <row r="714">
      <c r="A714" s="71"/>
      <c r="C714" s="70"/>
      <c r="D714" s="70"/>
      <c r="E714" s="52"/>
    </row>
    <row r="715">
      <c r="A715" s="71"/>
      <c r="C715" s="70"/>
      <c r="D715" s="70"/>
      <c r="E715" s="52"/>
    </row>
    <row r="716">
      <c r="A716" s="71"/>
      <c r="C716" s="70"/>
      <c r="D716" s="70"/>
      <c r="E716" s="52"/>
    </row>
    <row r="717">
      <c r="A717" s="71"/>
      <c r="C717" s="70"/>
      <c r="D717" s="70"/>
      <c r="E717" s="52"/>
    </row>
    <row r="718">
      <c r="A718" s="71"/>
      <c r="C718" s="70"/>
      <c r="D718" s="70"/>
      <c r="E718" s="52"/>
    </row>
    <row r="719">
      <c r="A719" s="71"/>
      <c r="C719" s="70"/>
      <c r="D719" s="70"/>
      <c r="E719" s="52"/>
    </row>
    <row r="720">
      <c r="A720" s="71"/>
      <c r="C720" s="70"/>
      <c r="D720" s="70"/>
      <c r="E720" s="52"/>
    </row>
    <row r="721">
      <c r="A721" s="71"/>
      <c r="C721" s="70"/>
      <c r="D721" s="70"/>
      <c r="E721" s="52"/>
    </row>
    <row r="722">
      <c r="A722" s="71"/>
      <c r="C722" s="70"/>
      <c r="D722" s="70"/>
      <c r="E722" s="52"/>
    </row>
    <row r="723">
      <c r="A723" s="71"/>
      <c r="C723" s="70"/>
      <c r="D723" s="70"/>
      <c r="E723" s="52"/>
    </row>
    <row r="724">
      <c r="A724" s="71"/>
      <c r="C724" s="70"/>
      <c r="D724" s="70"/>
      <c r="E724" s="52"/>
    </row>
    <row r="725">
      <c r="A725" s="71"/>
      <c r="C725" s="70"/>
      <c r="D725" s="70"/>
      <c r="E725" s="52"/>
    </row>
    <row r="726">
      <c r="A726" s="71"/>
      <c r="C726" s="70"/>
      <c r="D726" s="70"/>
      <c r="E726" s="52"/>
    </row>
    <row r="727">
      <c r="A727" s="71"/>
      <c r="C727" s="70"/>
      <c r="D727" s="70"/>
      <c r="E727" s="52"/>
    </row>
    <row r="728">
      <c r="A728" s="71"/>
      <c r="C728" s="70"/>
      <c r="D728" s="70"/>
      <c r="E728" s="52"/>
    </row>
    <row r="729">
      <c r="A729" s="71"/>
      <c r="C729" s="70"/>
      <c r="D729" s="70"/>
      <c r="E729" s="52"/>
    </row>
    <row r="730">
      <c r="A730" s="71"/>
      <c r="C730" s="70"/>
      <c r="D730" s="70"/>
      <c r="E730" s="52"/>
    </row>
    <row r="731">
      <c r="A731" s="71"/>
      <c r="C731" s="70"/>
      <c r="D731" s="70"/>
      <c r="E731" s="52"/>
    </row>
    <row r="732">
      <c r="A732" s="71"/>
      <c r="C732" s="70"/>
      <c r="D732" s="70"/>
      <c r="E732" s="52"/>
    </row>
    <row r="733">
      <c r="A733" s="71"/>
      <c r="C733" s="70"/>
      <c r="D733" s="70"/>
      <c r="E733" s="52"/>
    </row>
    <row r="734">
      <c r="A734" s="71"/>
      <c r="C734" s="70"/>
      <c r="D734" s="70"/>
      <c r="E734" s="52"/>
    </row>
    <row r="735">
      <c r="A735" s="71"/>
      <c r="C735" s="70"/>
      <c r="D735" s="70"/>
      <c r="E735" s="52"/>
    </row>
    <row r="736">
      <c r="A736" s="71"/>
      <c r="C736" s="70"/>
      <c r="D736" s="70"/>
      <c r="E736" s="52"/>
    </row>
    <row r="737">
      <c r="A737" s="71"/>
      <c r="C737" s="70"/>
      <c r="D737" s="70"/>
      <c r="E737" s="52"/>
    </row>
    <row r="738">
      <c r="A738" s="71"/>
      <c r="C738" s="70"/>
      <c r="D738" s="70"/>
      <c r="E738" s="52"/>
    </row>
    <row r="739">
      <c r="A739" s="71"/>
      <c r="C739" s="70"/>
      <c r="D739" s="70"/>
      <c r="E739" s="52"/>
    </row>
    <row r="740">
      <c r="A740" s="71"/>
      <c r="C740" s="70"/>
      <c r="D740" s="70"/>
      <c r="E740" s="52"/>
    </row>
    <row r="741">
      <c r="A741" s="71"/>
      <c r="C741" s="70"/>
      <c r="D741" s="70"/>
      <c r="E741" s="52"/>
    </row>
    <row r="742">
      <c r="A742" s="71"/>
      <c r="C742" s="70"/>
      <c r="D742" s="70"/>
      <c r="E742" s="52"/>
    </row>
    <row r="743">
      <c r="A743" s="71"/>
      <c r="C743" s="70"/>
      <c r="D743" s="70"/>
      <c r="E743" s="52"/>
    </row>
    <row r="744">
      <c r="A744" s="71"/>
      <c r="C744" s="70"/>
      <c r="D744" s="70"/>
      <c r="E744" s="52"/>
    </row>
    <row r="745">
      <c r="A745" s="71"/>
      <c r="C745" s="70"/>
      <c r="D745" s="70"/>
      <c r="E745" s="52"/>
    </row>
    <row r="746">
      <c r="A746" s="71"/>
      <c r="C746" s="70"/>
      <c r="D746" s="70"/>
      <c r="E746" s="52"/>
    </row>
    <row r="747">
      <c r="A747" s="71"/>
      <c r="C747" s="70"/>
      <c r="D747" s="70"/>
      <c r="E747" s="52"/>
    </row>
    <row r="748">
      <c r="A748" s="71"/>
      <c r="C748" s="70"/>
      <c r="D748" s="70"/>
      <c r="E748" s="52"/>
    </row>
    <row r="749">
      <c r="A749" s="71"/>
      <c r="C749" s="70"/>
      <c r="D749" s="70"/>
      <c r="E749" s="52"/>
    </row>
    <row r="750">
      <c r="A750" s="71"/>
      <c r="C750" s="70"/>
      <c r="D750" s="70"/>
      <c r="E750" s="52"/>
    </row>
    <row r="751">
      <c r="A751" s="71"/>
      <c r="C751" s="70"/>
      <c r="D751" s="70"/>
      <c r="E751" s="52"/>
    </row>
    <row r="752">
      <c r="A752" s="71"/>
      <c r="C752" s="70"/>
      <c r="D752" s="70"/>
      <c r="E752" s="52"/>
    </row>
    <row r="753">
      <c r="A753" s="71"/>
      <c r="C753" s="70"/>
      <c r="D753" s="70"/>
      <c r="E753" s="52"/>
    </row>
    <row r="754">
      <c r="A754" s="71"/>
      <c r="C754" s="70"/>
      <c r="D754" s="70"/>
      <c r="E754" s="52"/>
    </row>
    <row r="755">
      <c r="A755" s="71"/>
      <c r="C755" s="70"/>
      <c r="D755" s="70"/>
      <c r="E755" s="52"/>
    </row>
    <row r="756">
      <c r="A756" s="71"/>
      <c r="C756" s="70"/>
      <c r="D756" s="70"/>
      <c r="E756" s="52"/>
    </row>
    <row r="757">
      <c r="A757" s="71"/>
      <c r="C757" s="70"/>
      <c r="D757" s="70"/>
      <c r="E757" s="52"/>
    </row>
    <row r="758">
      <c r="A758" s="71"/>
      <c r="C758" s="70"/>
      <c r="D758" s="70"/>
      <c r="E758" s="52"/>
    </row>
    <row r="759">
      <c r="A759" s="71"/>
      <c r="C759" s="70"/>
      <c r="D759" s="70"/>
      <c r="E759" s="52"/>
    </row>
    <row r="760">
      <c r="A760" s="71"/>
      <c r="C760" s="70"/>
      <c r="D760" s="70"/>
      <c r="E760" s="52"/>
    </row>
    <row r="761">
      <c r="A761" s="71"/>
      <c r="C761" s="70"/>
      <c r="D761" s="70"/>
      <c r="E761" s="52"/>
    </row>
    <row r="762">
      <c r="A762" s="71"/>
      <c r="C762" s="70"/>
      <c r="D762" s="70"/>
      <c r="E762" s="52"/>
    </row>
    <row r="763">
      <c r="A763" s="71"/>
      <c r="C763" s="70"/>
      <c r="D763" s="70"/>
      <c r="E763" s="52"/>
    </row>
    <row r="764">
      <c r="A764" s="71"/>
      <c r="C764" s="70"/>
      <c r="D764" s="70"/>
      <c r="E764" s="52"/>
    </row>
    <row r="765">
      <c r="A765" s="71"/>
      <c r="C765" s="70"/>
      <c r="D765" s="70"/>
      <c r="E765" s="52"/>
    </row>
    <row r="766">
      <c r="A766" s="71"/>
      <c r="C766" s="70"/>
      <c r="D766" s="70"/>
      <c r="E766" s="52"/>
    </row>
    <row r="767">
      <c r="A767" s="71"/>
      <c r="C767" s="70"/>
      <c r="D767" s="70"/>
      <c r="E767" s="52"/>
    </row>
    <row r="768">
      <c r="A768" s="71"/>
      <c r="C768" s="70"/>
      <c r="D768" s="70"/>
      <c r="E768" s="52"/>
    </row>
    <row r="769">
      <c r="A769" s="71"/>
      <c r="C769" s="70"/>
      <c r="D769" s="70"/>
      <c r="E769" s="52"/>
    </row>
    <row r="770">
      <c r="A770" s="71"/>
      <c r="C770" s="70"/>
      <c r="D770" s="70"/>
      <c r="E770" s="52"/>
    </row>
    <row r="771">
      <c r="A771" s="71"/>
      <c r="C771" s="70"/>
      <c r="D771" s="70"/>
      <c r="E771" s="52"/>
    </row>
    <row r="772">
      <c r="A772" s="71"/>
      <c r="C772" s="70"/>
      <c r="D772" s="70"/>
      <c r="E772" s="52"/>
    </row>
    <row r="773">
      <c r="A773" s="71"/>
      <c r="C773" s="70"/>
      <c r="D773" s="70"/>
      <c r="E773" s="52"/>
    </row>
    <row r="774">
      <c r="A774" s="71"/>
      <c r="C774" s="70"/>
      <c r="D774" s="70"/>
      <c r="E774" s="52"/>
    </row>
    <row r="775">
      <c r="A775" s="71"/>
      <c r="C775" s="70"/>
      <c r="D775" s="70"/>
      <c r="E775" s="52"/>
    </row>
    <row r="776">
      <c r="A776" s="71"/>
      <c r="C776" s="70"/>
      <c r="D776" s="70"/>
      <c r="E776" s="52"/>
    </row>
    <row r="777">
      <c r="A777" s="71"/>
      <c r="C777" s="70"/>
      <c r="D777" s="70"/>
      <c r="E777" s="52"/>
    </row>
    <row r="778">
      <c r="A778" s="71"/>
      <c r="C778" s="70"/>
      <c r="D778" s="70"/>
      <c r="E778" s="52"/>
    </row>
    <row r="779">
      <c r="A779" s="71"/>
      <c r="C779" s="70"/>
      <c r="D779" s="70"/>
      <c r="E779" s="52"/>
    </row>
    <row r="780">
      <c r="A780" s="71"/>
      <c r="C780" s="70"/>
      <c r="D780" s="70"/>
      <c r="E780" s="52"/>
    </row>
    <row r="781">
      <c r="A781" s="71"/>
      <c r="C781" s="70"/>
      <c r="D781" s="70"/>
      <c r="E781" s="52"/>
    </row>
    <row r="782">
      <c r="A782" s="71"/>
      <c r="C782" s="70"/>
      <c r="D782" s="70"/>
      <c r="E782" s="52"/>
    </row>
    <row r="783">
      <c r="A783" s="71"/>
      <c r="C783" s="70"/>
      <c r="D783" s="70"/>
      <c r="E783" s="52"/>
    </row>
    <row r="784">
      <c r="A784" s="71"/>
      <c r="C784" s="70"/>
      <c r="D784" s="70"/>
      <c r="E784" s="52"/>
    </row>
    <row r="785">
      <c r="A785" s="71"/>
      <c r="C785" s="70"/>
      <c r="D785" s="70"/>
      <c r="E785" s="52"/>
    </row>
    <row r="786">
      <c r="A786" s="71"/>
      <c r="C786" s="70"/>
      <c r="D786" s="70"/>
      <c r="E786" s="52"/>
    </row>
    <row r="787">
      <c r="A787" s="71"/>
      <c r="C787" s="70"/>
      <c r="D787" s="70"/>
      <c r="E787" s="52"/>
    </row>
    <row r="788">
      <c r="A788" s="71"/>
      <c r="C788" s="70"/>
      <c r="D788" s="70"/>
      <c r="E788" s="52"/>
    </row>
    <row r="789">
      <c r="A789" s="71"/>
      <c r="C789" s="70"/>
      <c r="D789" s="70"/>
      <c r="E789" s="52"/>
    </row>
    <row r="790">
      <c r="A790" s="71"/>
      <c r="C790" s="70"/>
      <c r="D790" s="70"/>
      <c r="E790" s="52"/>
    </row>
    <row r="791">
      <c r="A791" s="71"/>
      <c r="C791" s="70"/>
      <c r="D791" s="70"/>
      <c r="E791" s="52"/>
    </row>
    <row r="792">
      <c r="A792" s="71"/>
      <c r="C792" s="70"/>
      <c r="D792" s="70"/>
      <c r="E792" s="52"/>
    </row>
    <row r="793">
      <c r="A793" s="71"/>
      <c r="C793" s="70"/>
      <c r="D793" s="70"/>
      <c r="E793" s="52"/>
    </row>
    <row r="794">
      <c r="A794" s="71"/>
      <c r="C794" s="70"/>
      <c r="D794" s="70"/>
      <c r="E794" s="52"/>
    </row>
    <row r="795">
      <c r="A795" s="71"/>
      <c r="C795" s="70"/>
      <c r="D795" s="70"/>
      <c r="E795" s="52"/>
    </row>
    <row r="796">
      <c r="A796" s="71"/>
      <c r="C796" s="70"/>
      <c r="D796" s="70"/>
      <c r="E796" s="52"/>
    </row>
    <row r="797">
      <c r="A797" s="71"/>
      <c r="C797" s="70"/>
      <c r="D797" s="70"/>
      <c r="E797" s="52"/>
    </row>
    <row r="798">
      <c r="A798" s="71"/>
      <c r="C798" s="70"/>
      <c r="D798" s="70"/>
      <c r="E798" s="52"/>
    </row>
    <row r="799">
      <c r="A799" s="71"/>
      <c r="C799" s="70"/>
      <c r="D799" s="70"/>
      <c r="E799" s="52"/>
    </row>
    <row r="800">
      <c r="A800" s="71"/>
      <c r="C800" s="70"/>
      <c r="D800" s="70"/>
      <c r="E800" s="52"/>
    </row>
    <row r="801">
      <c r="A801" s="71"/>
      <c r="C801" s="70"/>
      <c r="D801" s="70"/>
      <c r="E801" s="52"/>
    </row>
    <row r="802">
      <c r="A802" s="71"/>
      <c r="C802" s="70"/>
      <c r="D802" s="70"/>
      <c r="E802" s="52"/>
    </row>
    <row r="803">
      <c r="A803" s="71"/>
      <c r="C803" s="70"/>
      <c r="D803" s="70"/>
      <c r="E803" s="52"/>
    </row>
    <row r="804">
      <c r="A804" s="71"/>
      <c r="C804" s="70"/>
      <c r="D804" s="70"/>
      <c r="E804" s="52"/>
    </row>
    <row r="805">
      <c r="A805" s="71"/>
      <c r="C805" s="70"/>
      <c r="D805" s="70"/>
      <c r="E805" s="52"/>
    </row>
    <row r="806">
      <c r="A806" s="71"/>
      <c r="C806" s="70"/>
      <c r="D806" s="70"/>
      <c r="E806" s="52"/>
    </row>
    <row r="807">
      <c r="A807" s="71"/>
      <c r="C807" s="70"/>
      <c r="D807" s="70"/>
      <c r="E807" s="52"/>
    </row>
    <row r="808">
      <c r="A808" s="71"/>
      <c r="C808" s="70"/>
      <c r="D808" s="70"/>
      <c r="E808" s="52"/>
    </row>
    <row r="809">
      <c r="A809" s="71"/>
      <c r="C809" s="70"/>
      <c r="D809" s="70"/>
      <c r="E809" s="52"/>
    </row>
    <row r="810">
      <c r="A810" s="71"/>
      <c r="C810" s="70"/>
      <c r="D810" s="70"/>
      <c r="E810" s="52"/>
    </row>
    <row r="811">
      <c r="A811" s="71"/>
      <c r="C811" s="70"/>
      <c r="D811" s="70"/>
      <c r="E811" s="52"/>
    </row>
    <row r="812">
      <c r="A812" s="71"/>
      <c r="C812" s="70"/>
      <c r="D812" s="70"/>
      <c r="E812" s="52"/>
    </row>
    <row r="813">
      <c r="A813" s="71"/>
      <c r="C813" s="70"/>
      <c r="D813" s="70"/>
      <c r="E813" s="52"/>
    </row>
    <row r="814">
      <c r="A814" s="71"/>
      <c r="C814" s="70"/>
      <c r="D814" s="70"/>
      <c r="E814" s="52"/>
    </row>
    <row r="815">
      <c r="A815" s="71"/>
      <c r="C815" s="70"/>
      <c r="D815" s="70"/>
      <c r="E815" s="52"/>
    </row>
    <row r="816">
      <c r="A816" s="71"/>
      <c r="C816" s="70"/>
      <c r="D816" s="70"/>
      <c r="E816" s="52"/>
    </row>
    <row r="817">
      <c r="A817" s="71"/>
      <c r="C817" s="70"/>
      <c r="D817" s="70"/>
      <c r="E817" s="52"/>
    </row>
    <row r="818">
      <c r="A818" s="71"/>
      <c r="C818" s="70"/>
      <c r="D818" s="70"/>
      <c r="E818" s="52"/>
    </row>
    <row r="819">
      <c r="A819" s="71"/>
      <c r="C819" s="70"/>
      <c r="D819" s="70"/>
      <c r="E819" s="52"/>
    </row>
    <row r="820">
      <c r="A820" s="71"/>
      <c r="C820" s="70"/>
      <c r="D820" s="70"/>
      <c r="E820" s="52"/>
    </row>
    <row r="821">
      <c r="A821" s="71"/>
      <c r="C821" s="70"/>
      <c r="D821" s="70"/>
      <c r="E821" s="52"/>
    </row>
    <row r="822">
      <c r="A822" s="71"/>
      <c r="C822" s="70"/>
      <c r="D822" s="70"/>
      <c r="E822" s="52"/>
    </row>
    <row r="823">
      <c r="A823" s="71"/>
      <c r="C823" s="70"/>
      <c r="D823" s="70"/>
      <c r="E823" s="52"/>
    </row>
    <row r="824">
      <c r="A824" s="71"/>
      <c r="C824" s="70"/>
      <c r="D824" s="70"/>
      <c r="E824" s="52"/>
    </row>
    <row r="825">
      <c r="A825" s="71"/>
      <c r="C825" s="70"/>
      <c r="D825" s="70"/>
      <c r="E825" s="52"/>
    </row>
    <row r="826">
      <c r="A826" s="71"/>
      <c r="C826" s="70"/>
      <c r="D826" s="70"/>
      <c r="E826" s="52"/>
    </row>
    <row r="827">
      <c r="A827" s="71"/>
      <c r="C827" s="70"/>
      <c r="D827" s="70"/>
      <c r="E827" s="52"/>
    </row>
    <row r="828">
      <c r="A828" s="71"/>
      <c r="C828" s="70"/>
      <c r="D828" s="70"/>
      <c r="E828" s="52"/>
    </row>
    <row r="829">
      <c r="A829" s="71"/>
      <c r="C829" s="70"/>
      <c r="D829" s="70"/>
      <c r="E829" s="52"/>
    </row>
    <row r="830">
      <c r="A830" s="71"/>
      <c r="C830" s="70"/>
      <c r="D830" s="70"/>
      <c r="E830" s="52"/>
    </row>
    <row r="831">
      <c r="A831" s="71"/>
      <c r="C831" s="70"/>
      <c r="D831" s="70"/>
      <c r="E831" s="52"/>
    </row>
    <row r="832">
      <c r="A832" s="71"/>
      <c r="C832" s="70"/>
      <c r="D832" s="70"/>
      <c r="E832" s="52"/>
    </row>
    <row r="833">
      <c r="A833" s="71"/>
      <c r="C833" s="70"/>
      <c r="D833" s="70"/>
      <c r="E833" s="52"/>
    </row>
    <row r="834">
      <c r="A834" s="71"/>
      <c r="C834" s="70"/>
      <c r="D834" s="70"/>
      <c r="E834" s="52"/>
    </row>
    <row r="835">
      <c r="A835" s="71"/>
      <c r="C835" s="70"/>
      <c r="D835" s="70"/>
      <c r="E835" s="52"/>
    </row>
    <row r="836">
      <c r="A836" s="71"/>
      <c r="C836" s="70"/>
      <c r="D836" s="70"/>
      <c r="E836" s="52"/>
    </row>
    <row r="837">
      <c r="A837" s="71"/>
      <c r="C837" s="70"/>
      <c r="D837" s="70"/>
      <c r="E837" s="52"/>
    </row>
    <row r="838">
      <c r="A838" s="71"/>
      <c r="C838" s="70"/>
      <c r="D838" s="70"/>
      <c r="E838" s="52"/>
    </row>
    <row r="839">
      <c r="A839" s="71"/>
      <c r="C839" s="70"/>
      <c r="D839" s="70"/>
      <c r="E839" s="52"/>
    </row>
    <row r="840">
      <c r="A840" s="71"/>
      <c r="C840" s="70"/>
      <c r="D840" s="70"/>
      <c r="E840" s="52"/>
    </row>
    <row r="841">
      <c r="A841" s="71"/>
      <c r="C841" s="70"/>
      <c r="D841" s="70"/>
      <c r="E841" s="52"/>
    </row>
    <row r="842">
      <c r="A842" s="71"/>
      <c r="C842" s="70"/>
      <c r="D842" s="70"/>
      <c r="E842" s="52"/>
    </row>
    <row r="843">
      <c r="A843" s="71"/>
      <c r="C843" s="70"/>
      <c r="D843" s="70"/>
      <c r="E843" s="52"/>
    </row>
    <row r="844">
      <c r="A844" s="71"/>
      <c r="C844" s="70"/>
      <c r="D844" s="70"/>
      <c r="E844" s="52"/>
    </row>
    <row r="845">
      <c r="A845" s="71"/>
      <c r="C845" s="70"/>
      <c r="D845" s="70"/>
      <c r="E845" s="52"/>
    </row>
    <row r="846">
      <c r="A846" s="71"/>
      <c r="C846" s="70"/>
      <c r="D846" s="70"/>
      <c r="E846" s="52"/>
    </row>
    <row r="847">
      <c r="A847" s="71"/>
      <c r="C847" s="70"/>
      <c r="D847" s="70"/>
      <c r="E847" s="52"/>
    </row>
    <row r="848">
      <c r="A848" s="71"/>
      <c r="C848" s="70"/>
      <c r="D848" s="70"/>
      <c r="E848" s="52"/>
    </row>
    <row r="849">
      <c r="A849" s="71"/>
      <c r="C849" s="70"/>
      <c r="D849" s="70"/>
      <c r="E849" s="52"/>
    </row>
    <row r="850">
      <c r="A850" s="71"/>
      <c r="C850" s="70"/>
      <c r="D850" s="70"/>
      <c r="E850" s="52"/>
    </row>
    <row r="851">
      <c r="A851" s="71"/>
      <c r="C851" s="70"/>
      <c r="D851" s="70"/>
      <c r="E851" s="52"/>
    </row>
    <row r="852">
      <c r="A852" s="71"/>
      <c r="C852" s="70"/>
      <c r="D852" s="70"/>
      <c r="E852" s="52"/>
    </row>
    <row r="853">
      <c r="A853" s="71"/>
      <c r="C853" s="70"/>
      <c r="D853" s="70"/>
      <c r="E853" s="52"/>
    </row>
    <row r="854">
      <c r="A854" s="71"/>
      <c r="C854" s="70"/>
      <c r="D854" s="70"/>
      <c r="E854" s="52"/>
    </row>
    <row r="855">
      <c r="A855" s="71"/>
      <c r="C855" s="70"/>
      <c r="D855" s="70"/>
      <c r="E855" s="52"/>
    </row>
    <row r="856">
      <c r="A856" s="71"/>
      <c r="C856" s="70"/>
      <c r="D856" s="70"/>
      <c r="E856" s="52"/>
    </row>
    <row r="857">
      <c r="A857" s="71"/>
      <c r="C857" s="70"/>
      <c r="D857" s="70"/>
      <c r="E857" s="52"/>
    </row>
    <row r="858">
      <c r="A858" s="71"/>
      <c r="C858" s="70"/>
      <c r="D858" s="70"/>
      <c r="E858" s="52"/>
    </row>
    <row r="859">
      <c r="A859" s="71"/>
      <c r="C859" s="70"/>
      <c r="D859" s="70"/>
      <c r="E859" s="52"/>
    </row>
    <row r="860">
      <c r="A860" s="71"/>
      <c r="C860" s="70"/>
      <c r="D860" s="70"/>
      <c r="E860" s="52"/>
    </row>
    <row r="861">
      <c r="A861" s="71"/>
      <c r="C861" s="70"/>
      <c r="D861" s="70"/>
      <c r="E861" s="52"/>
    </row>
    <row r="862">
      <c r="A862" s="71"/>
      <c r="C862" s="70"/>
      <c r="D862" s="70"/>
      <c r="E862" s="52"/>
    </row>
    <row r="863">
      <c r="A863" s="71"/>
      <c r="C863" s="70"/>
      <c r="D863" s="70"/>
      <c r="E863" s="52"/>
    </row>
    <row r="864">
      <c r="A864" s="71"/>
      <c r="C864" s="70"/>
      <c r="D864" s="70"/>
      <c r="E864" s="52"/>
    </row>
    <row r="865">
      <c r="A865" s="71"/>
      <c r="C865" s="70"/>
      <c r="D865" s="70"/>
      <c r="E865" s="52"/>
    </row>
    <row r="866">
      <c r="A866" s="71"/>
      <c r="C866" s="70"/>
      <c r="D866" s="70"/>
      <c r="E866" s="52"/>
    </row>
    <row r="867">
      <c r="A867" s="71"/>
      <c r="C867" s="70"/>
      <c r="D867" s="70"/>
      <c r="E867" s="52"/>
    </row>
    <row r="868">
      <c r="A868" s="71"/>
      <c r="C868" s="70"/>
      <c r="D868" s="70"/>
      <c r="E868" s="52"/>
    </row>
    <row r="869">
      <c r="A869" s="71"/>
      <c r="C869" s="70"/>
      <c r="D869" s="70"/>
      <c r="E869" s="52"/>
    </row>
    <row r="870">
      <c r="A870" s="71"/>
      <c r="C870" s="70"/>
      <c r="D870" s="70"/>
      <c r="E870" s="52"/>
    </row>
    <row r="871">
      <c r="A871" s="71"/>
      <c r="C871" s="70"/>
      <c r="D871" s="70"/>
      <c r="E871" s="52"/>
    </row>
    <row r="872">
      <c r="A872" s="71"/>
      <c r="C872" s="70"/>
      <c r="D872" s="70"/>
      <c r="E872" s="52"/>
    </row>
    <row r="873">
      <c r="A873" s="71"/>
      <c r="C873" s="70"/>
      <c r="D873" s="70"/>
      <c r="E873" s="52"/>
    </row>
    <row r="874">
      <c r="A874" s="71"/>
      <c r="C874" s="70"/>
      <c r="D874" s="70"/>
      <c r="E874" s="52"/>
    </row>
    <row r="875">
      <c r="A875" s="71"/>
      <c r="C875" s="70"/>
      <c r="D875" s="70"/>
      <c r="E875" s="52"/>
    </row>
    <row r="876">
      <c r="A876" s="71"/>
      <c r="C876" s="70"/>
      <c r="D876" s="70"/>
      <c r="E876" s="52"/>
    </row>
    <row r="877">
      <c r="A877" s="71"/>
      <c r="C877" s="70"/>
      <c r="D877" s="70"/>
      <c r="E877" s="52"/>
    </row>
    <row r="878">
      <c r="A878" s="71"/>
      <c r="C878" s="70"/>
      <c r="D878" s="70"/>
      <c r="E878" s="52"/>
    </row>
    <row r="879">
      <c r="A879" s="71"/>
      <c r="C879" s="70"/>
      <c r="D879" s="70"/>
      <c r="E879" s="52"/>
    </row>
    <row r="880">
      <c r="A880" s="71"/>
      <c r="C880" s="70"/>
      <c r="D880" s="70"/>
      <c r="E880" s="52"/>
    </row>
    <row r="881">
      <c r="A881" s="71"/>
      <c r="C881" s="70"/>
      <c r="D881" s="70"/>
      <c r="E881" s="52"/>
    </row>
    <row r="882">
      <c r="A882" s="71"/>
      <c r="C882" s="70"/>
      <c r="D882" s="70"/>
      <c r="E882" s="52"/>
    </row>
    <row r="883">
      <c r="A883" s="71"/>
      <c r="C883" s="70"/>
      <c r="D883" s="70"/>
      <c r="E883" s="52"/>
    </row>
    <row r="884">
      <c r="A884" s="71"/>
      <c r="C884" s="70"/>
      <c r="D884" s="70"/>
      <c r="E884" s="52"/>
    </row>
    <row r="885">
      <c r="A885" s="71"/>
      <c r="C885" s="70"/>
      <c r="D885" s="70"/>
      <c r="E885" s="52"/>
    </row>
    <row r="886">
      <c r="A886" s="71"/>
      <c r="C886" s="70"/>
      <c r="D886" s="70"/>
      <c r="E886" s="52"/>
    </row>
    <row r="887">
      <c r="A887" s="71"/>
      <c r="C887" s="70"/>
      <c r="D887" s="70"/>
      <c r="E887" s="52"/>
    </row>
    <row r="888">
      <c r="A888" s="71"/>
      <c r="C888" s="70"/>
      <c r="D888" s="70"/>
      <c r="E888" s="52"/>
    </row>
    <row r="889">
      <c r="A889" s="71"/>
      <c r="C889" s="70"/>
      <c r="D889" s="70"/>
      <c r="E889" s="52"/>
    </row>
    <row r="890">
      <c r="A890" s="71"/>
      <c r="C890" s="70"/>
      <c r="D890" s="70"/>
      <c r="E890" s="52"/>
    </row>
    <row r="891">
      <c r="A891" s="71"/>
      <c r="C891" s="70"/>
      <c r="D891" s="70"/>
      <c r="E891" s="52"/>
    </row>
    <row r="892">
      <c r="A892" s="71"/>
      <c r="C892" s="70"/>
      <c r="D892" s="70"/>
      <c r="E892" s="52"/>
    </row>
    <row r="893">
      <c r="A893" s="71"/>
      <c r="C893" s="70"/>
      <c r="D893" s="70"/>
      <c r="E893" s="52"/>
    </row>
    <row r="894">
      <c r="A894" s="71"/>
      <c r="C894" s="70"/>
      <c r="D894" s="70"/>
      <c r="E894" s="52"/>
    </row>
    <row r="895">
      <c r="A895" s="71"/>
      <c r="C895" s="70"/>
      <c r="D895" s="70"/>
      <c r="E895" s="52"/>
    </row>
    <row r="896">
      <c r="A896" s="71"/>
      <c r="C896" s="70"/>
      <c r="D896" s="70"/>
      <c r="E896" s="52"/>
    </row>
    <row r="897">
      <c r="A897" s="71"/>
      <c r="C897" s="70"/>
      <c r="D897" s="70"/>
      <c r="E897" s="52"/>
    </row>
    <row r="898">
      <c r="A898" s="71"/>
      <c r="C898" s="70"/>
      <c r="D898" s="70"/>
      <c r="E898" s="52"/>
    </row>
    <row r="899">
      <c r="A899" s="71"/>
      <c r="C899" s="70"/>
      <c r="D899" s="70"/>
      <c r="E899" s="52"/>
    </row>
    <row r="900">
      <c r="A900" s="71"/>
      <c r="C900" s="70"/>
      <c r="D900" s="70"/>
      <c r="E900" s="52"/>
    </row>
    <row r="901">
      <c r="A901" s="71"/>
      <c r="C901" s="70"/>
      <c r="D901" s="70"/>
      <c r="E901" s="52"/>
    </row>
    <row r="902">
      <c r="A902" s="71"/>
      <c r="C902" s="70"/>
      <c r="D902" s="70"/>
      <c r="E902" s="52"/>
    </row>
    <row r="903">
      <c r="A903" s="71"/>
      <c r="C903" s="70"/>
      <c r="D903" s="70"/>
      <c r="E903" s="52"/>
    </row>
    <row r="904">
      <c r="A904" s="71"/>
      <c r="C904" s="70"/>
      <c r="D904" s="70"/>
      <c r="E904" s="52"/>
    </row>
    <row r="905">
      <c r="A905" s="71"/>
      <c r="C905" s="70"/>
      <c r="D905" s="70"/>
      <c r="E905" s="52"/>
    </row>
    <row r="906">
      <c r="A906" s="71"/>
      <c r="C906" s="70"/>
      <c r="D906" s="70"/>
      <c r="E906" s="52"/>
    </row>
    <row r="907">
      <c r="A907" s="71"/>
      <c r="C907" s="70"/>
      <c r="D907" s="70"/>
      <c r="E907" s="52"/>
    </row>
    <row r="908">
      <c r="A908" s="71"/>
      <c r="C908" s="70"/>
      <c r="D908" s="70"/>
      <c r="E908" s="52"/>
    </row>
    <row r="909">
      <c r="A909" s="71"/>
      <c r="C909" s="70"/>
      <c r="D909" s="70"/>
      <c r="E909" s="52"/>
    </row>
    <row r="910">
      <c r="A910" s="71"/>
      <c r="C910" s="70"/>
      <c r="D910" s="70"/>
      <c r="E910" s="52"/>
    </row>
    <row r="911">
      <c r="A911" s="71"/>
      <c r="C911" s="70"/>
      <c r="D911" s="70"/>
      <c r="E911" s="52"/>
    </row>
    <row r="912">
      <c r="A912" s="71"/>
      <c r="C912" s="70"/>
      <c r="D912" s="70"/>
      <c r="E912" s="52"/>
    </row>
    <row r="913">
      <c r="A913" s="71"/>
      <c r="C913" s="70"/>
      <c r="D913" s="70"/>
      <c r="E913" s="52"/>
    </row>
    <row r="914">
      <c r="A914" s="71"/>
      <c r="C914" s="70"/>
      <c r="D914" s="70"/>
      <c r="E914" s="52"/>
    </row>
    <row r="915">
      <c r="A915" s="71"/>
      <c r="C915" s="70"/>
      <c r="D915" s="70"/>
      <c r="E915" s="52"/>
    </row>
    <row r="916">
      <c r="A916" s="71"/>
      <c r="C916" s="70"/>
      <c r="D916" s="70"/>
      <c r="E916" s="52"/>
    </row>
    <row r="917">
      <c r="A917" s="71"/>
      <c r="C917" s="70"/>
      <c r="D917" s="70"/>
      <c r="E917" s="52"/>
    </row>
    <row r="918">
      <c r="A918" s="71"/>
      <c r="C918" s="70"/>
      <c r="D918" s="70"/>
      <c r="E918" s="52"/>
    </row>
    <row r="919">
      <c r="A919" s="71"/>
      <c r="C919" s="70"/>
      <c r="D919" s="70"/>
      <c r="E919" s="52"/>
    </row>
    <row r="920">
      <c r="A920" s="71"/>
      <c r="C920" s="70"/>
      <c r="D920" s="70"/>
      <c r="E920" s="52"/>
    </row>
    <row r="921">
      <c r="A921" s="71"/>
      <c r="C921" s="70"/>
      <c r="D921" s="70"/>
      <c r="E921" s="52"/>
    </row>
    <row r="922">
      <c r="A922" s="71"/>
      <c r="C922" s="70"/>
      <c r="D922" s="70"/>
      <c r="E922" s="52"/>
    </row>
    <row r="923">
      <c r="A923" s="71"/>
      <c r="C923" s="70"/>
      <c r="D923" s="70"/>
      <c r="E923" s="52"/>
    </row>
    <row r="924">
      <c r="A924" s="71"/>
      <c r="C924" s="70"/>
      <c r="D924" s="70"/>
      <c r="E924" s="52"/>
    </row>
    <row r="925">
      <c r="A925" s="71"/>
      <c r="C925" s="70"/>
      <c r="D925" s="70"/>
      <c r="E925" s="52"/>
    </row>
    <row r="926">
      <c r="A926" s="71"/>
      <c r="C926" s="70"/>
      <c r="D926" s="70"/>
      <c r="E926" s="52"/>
    </row>
    <row r="927">
      <c r="A927" s="71"/>
      <c r="C927" s="70"/>
      <c r="D927" s="70"/>
      <c r="E927" s="52"/>
    </row>
    <row r="928">
      <c r="A928" s="71"/>
      <c r="C928" s="70"/>
      <c r="D928" s="70"/>
      <c r="E928" s="52"/>
    </row>
    <row r="929">
      <c r="A929" s="71"/>
      <c r="C929" s="70"/>
      <c r="D929" s="70"/>
      <c r="E929" s="52"/>
    </row>
    <row r="930">
      <c r="A930" s="71"/>
      <c r="C930" s="70"/>
      <c r="D930" s="70"/>
      <c r="E930" s="52"/>
    </row>
    <row r="931">
      <c r="A931" s="71"/>
      <c r="C931" s="70"/>
      <c r="D931" s="70"/>
      <c r="E931" s="52"/>
    </row>
    <row r="932">
      <c r="A932" s="71"/>
      <c r="C932" s="70"/>
      <c r="D932" s="70"/>
      <c r="E932" s="52"/>
    </row>
    <row r="933">
      <c r="A933" s="71"/>
      <c r="C933" s="70"/>
      <c r="D933" s="70"/>
      <c r="E933" s="52"/>
    </row>
    <row r="934">
      <c r="A934" s="71"/>
      <c r="C934" s="70"/>
      <c r="D934" s="70"/>
      <c r="E934" s="52"/>
    </row>
    <row r="935">
      <c r="A935" s="71"/>
      <c r="C935" s="70"/>
      <c r="D935" s="70"/>
      <c r="E935" s="52"/>
    </row>
    <row r="936">
      <c r="A936" s="71"/>
      <c r="C936" s="70"/>
      <c r="D936" s="70"/>
      <c r="E936" s="52"/>
    </row>
    <row r="937">
      <c r="A937" s="71"/>
      <c r="C937" s="70"/>
      <c r="D937" s="70"/>
      <c r="E937" s="52"/>
    </row>
    <row r="938">
      <c r="A938" s="71"/>
      <c r="C938" s="70"/>
      <c r="D938" s="70"/>
      <c r="E938" s="52"/>
    </row>
    <row r="939">
      <c r="A939" s="71"/>
      <c r="C939" s="70"/>
      <c r="D939" s="70"/>
      <c r="E939" s="52"/>
    </row>
    <row r="940">
      <c r="A940" s="71"/>
      <c r="C940" s="70"/>
      <c r="D940" s="70"/>
      <c r="E940" s="52"/>
    </row>
    <row r="941">
      <c r="A941" s="71"/>
      <c r="C941" s="70"/>
      <c r="D941" s="70"/>
      <c r="E941" s="52"/>
    </row>
    <row r="942">
      <c r="A942" s="71"/>
      <c r="C942" s="70"/>
      <c r="D942" s="70"/>
      <c r="E942" s="52"/>
    </row>
    <row r="943">
      <c r="A943" s="71"/>
      <c r="C943" s="70"/>
      <c r="D943" s="70"/>
      <c r="E943" s="52"/>
    </row>
    <row r="944">
      <c r="A944" s="71"/>
      <c r="C944" s="70"/>
      <c r="D944" s="70"/>
      <c r="E944" s="52"/>
    </row>
    <row r="945">
      <c r="A945" s="71"/>
      <c r="C945" s="70"/>
      <c r="D945" s="70"/>
      <c r="E945" s="52"/>
    </row>
    <row r="946">
      <c r="A946" s="71"/>
      <c r="C946" s="70"/>
      <c r="D946" s="70"/>
      <c r="E946" s="52"/>
    </row>
    <row r="947">
      <c r="A947" s="71"/>
      <c r="C947" s="70"/>
      <c r="D947" s="70"/>
      <c r="E947" s="52"/>
    </row>
    <row r="948">
      <c r="A948" s="71"/>
      <c r="C948" s="70"/>
      <c r="D948" s="70"/>
      <c r="E948" s="52"/>
    </row>
    <row r="949">
      <c r="A949" s="71"/>
      <c r="C949" s="70"/>
      <c r="D949" s="70"/>
      <c r="E949" s="52"/>
    </row>
    <row r="950">
      <c r="A950" s="71"/>
      <c r="C950" s="70"/>
      <c r="D950" s="70"/>
      <c r="E950" s="52"/>
    </row>
    <row r="951">
      <c r="A951" s="71"/>
      <c r="C951" s="70"/>
      <c r="D951" s="70"/>
      <c r="E951" s="52"/>
    </row>
    <row r="952">
      <c r="A952" s="71"/>
      <c r="C952" s="70"/>
      <c r="D952" s="70"/>
      <c r="E952" s="52"/>
    </row>
    <row r="953">
      <c r="A953" s="71"/>
      <c r="C953" s="70"/>
      <c r="D953" s="70"/>
      <c r="E953" s="52"/>
    </row>
    <row r="954">
      <c r="A954" s="71"/>
      <c r="C954" s="70"/>
      <c r="D954" s="70"/>
      <c r="E954" s="52"/>
    </row>
    <row r="955">
      <c r="A955" s="71"/>
      <c r="C955" s="70"/>
      <c r="D955" s="70"/>
      <c r="E955" s="52"/>
    </row>
    <row r="956">
      <c r="A956" s="71"/>
      <c r="C956" s="70"/>
      <c r="D956" s="70"/>
      <c r="E956" s="52"/>
    </row>
    <row r="957">
      <c r="A957" s="71"/>
      <c r="C957" s="70"/>
      <c r="D957" s="70"/>
      <c r="E957" s="52"/>
    </row>
    <row r="958">
      <c r="A958" s="71"/>
      <c r="C958" s="70"/>
      <c r="D958" s="70"/>
      <c r="E958" s="52"/>
    </row>
    <row r="959">
      <c r="A959" s="71"/>
      <c r="C959" s="70"/>
      <c r="D959" s="70"/>
      <c r="E959" s="52"/>
    </row>
    <row r="960">
      <c r="A960" s="71"/>
      <c r="C960" s="70"/>
      <c r="D960" s="70"/>
      <c r="E960" s="52"/>
    </row>
    <row r="961">
      <c r="A961" s="71"/>
      <c r="C961" s="70"/>
      <c r="D961" s="70"/>
      <c r="E961" s="52"/>
    </row>
    <row r="962">
      <c r="A962" s="71"/>
      <c r="C962" s="70"/>
      <c r="D962" s="70"/>
      <c r="E962" s="52"/>
    </row>
    <row r="963">
      <c r="A963" s="71"/>
      <c r="C963" s="70"/>
      <c r="D963" s="70"/>
      <c r="E963" s="52"/>
    </row>
    <row r="964">
      <c r="A964" s="71"/>
      <c r="C964" s="70"/>
      <c r="D964" s="70"/>
      <c r="E964" s="52"/>
    </row>
    <row r="965">
      <c r="A965" s="71"/>
      <c r="C965" s="70"/>
      <c r="D965" s="70"/>
      <c r="E965" s="52"/>
    </row>
    <row r="966">
      <c r="A966" s="71"/>
      <c r="C966" s="70"/>
      <c r="D966" s="70"/>
      <c r="E966" s="52"/>
    </row>
    <row r="967">
      <c r="A967" s="71"/>
      <c r="C967" s="70"/>
      <c r="D967" s="70"/>
      <c r="E967" s="52"/>
    </row>
    <row r="968">
      <c r="A968" s="71"/>
      <c r="C968" s="70"/>
      <c r="D968" s="70"/>
      <c r="E968" s="52"/>
    </row>
    <row r="969">
      <c r="A969" s="71"/>
      <c r="C969" s="70"/>
      <c r="D969" s="70"/>
      <c r="E969" s="52"/>
    </row>
    <row r="970">
      <c r="A970" s="71"/>
      <c r="C970" s="70"/>
      <c r="D970" s="70"/>
      <c r="E970" s="52"/>
    </row>
    <row r="971">
      <c r="A971" s="71"/>
      <c r="C971" s="70"/>
      <c r="D971" s="70"/>
      <c r="E971" s="52"/>
    </row>
    <row r="972">
      <c r="A972" s="71"/>
      <c r="C972" s="70"/>
      <c r="D972" s="70"/>
      <c r="E972" s="52"/>
    </row>
    <row r="973">
      <c r="A973" s="71"/>
      <c r="C973" s="70"/>
      <c r="D973" s="70"/>
      <c r="E973" s="52"/>
    </row>
    <row r="974">
      <c r="A974" s="71"/>
      <c r="C974" s="70"/>
      <c r="D974" s="70"/>
      <c r="E974" s="52"/>
    </row>
    <row r="975">
      <c r="A975" s="71"/>
      <c r="C975" s="70"/>
      <c r="D975" s="70"/>
      <c r="E975" s="52"/>
    </row>
    <row r="976">
      <c r="A976" s="71"/>
      <c r="C976" s="70"/>
      <c r="D976" s="70"/>
      <c r="E976" s="52"/>
    </row>
    <row r="977">
      <c r="A977" s="71"/>
      <c r="C977" s="70"/>
      <c r="D977" s="70"/>
      <c r="E977" s="52"/>
    </row>
    <row r="978">
      <c r="A978" s="71"/>
      <c r="C978" s="70"/>
      <c r="D978" s="70"/>
      <c r="E978" s="52"/>
    </row>
    <row r="979">
      <c r="A979" s="71"/>
      <c r="C979" s="70"/>
      <c r="D979" s="70"/>
      <c r="E979" s="52"/>
    </row>
    <row r="980">
      <c r="A980" s="71"/>
      <c r="C980" s="70"/>
      <c r="D980" s="70"/>
      <c r="E980" s="52"/>
    </row>
    <row r="981">
      <c r="A981" s="71"/>
      <c r="C981" s="70"/>
      <c r="D981" s="70"/>
      <c r="E981" s="52"/>
    </row>
    <row r="982">
      <c r="A982" s="71"/>
      <c r="C982" s="70"/>
      <c r="D982" s="70"/>
      <c r="E982" s="52"/>
    </row>
    <row r="983">
      <c r="A983" s="71"/>
      <c r="C983" s="70"/>
      <c r="D983" s="70"/>
      <c r="E983" s="52"/>
    </row>
    <row r="984">
      <c r="A984" s="71"/>
      <c r="C984" s="70"/>
      <c r="D984" s="70"/>
      <c r="E984" s="52"/>
    </row>
    <row r="985">
      <c r="A985" s="71"/>
      <c r="C985" s="70"/>
      <c r="D985" s="70"/>
      <c r="E985" s="52"/>
    </row>
    <row r="986">
      <c r="A986" s="71"/>
      <c r="C986" s="70"/>
      <c r="D986" s="70"/>
      <c r="E986" s="52"/>
    </row>
    <row r="987">
      <c r="A987" s="71"/>
      <c r="C987" s="70"/>
      <c r="D987" s="70"/>
      <c r="E987" s="52"/>
    </row>
    <row r="988">
      <c r="A988" s="71"/>
      <c r="C988" s="70"/>
      <c r="D988" s="70"/>
      <c r="E988" s="52"/>
    </row>
    <row r="989">
      <c r="A989" s="71"/>
      <c r="C989" s="70"/>
      <c r="D989" s="70"/>
      <c r="E989" s="52"/>
    </row>
    <row r="990">
      <c r="A990" s="71"/>
      <c r="C990" s="70"/>
      <c r="D990" s="70"/>
      <c r="E990" s="52"/>
    </row>
    <row r="991">
      <c r="A991" s="71"/>
      <c r="C991" s="70"/>
      <c r="D991" s="70"/>
      <c r="E991" s="52"/>
    </row>
    <row r="992">
      <c r="A992" s="71"/>
      <c r="C992" s="70"/>
      <c r="D992" s="70"/>
      <c r="E992" s="52"/>
    </row>
    <row r="993">
      <c r="A993" s="71"/>
      <c r="C993" s="70"/>
      <c r="D993" s="70"/>
      <c r="E993" s="52"/>
    </row>
    <row r="994">
      <c r="A994" s="71"/>
      <c r="C994" s="70"/>
      <c r="D994" s="70"/>
      <c r="E994" s="52"/>
    </row>
    <row r="995">
      <c r="A995" s="71"/>
      <c r="C995" s="70"/>
      <c r="D995" s="70"/>
      <c r="E995" s="52"/>
    </row>
    <row r="996">
      <c r="A996" s="71"/>
      <c r="C996" s="70"/>
      <c r="D996" s="70"/>
      <c r="E996" s="52"/>
    </row>
    <row r="997">
      <c r="A997" s="71"/>
      <c r="C997" s="70"/>
      <c r="D997" s="70"/>
      <c r="E997" s="52"/>
    </row>
    <row r="998">
      <c r="A998" s="71"/>
      <c r="C998" s="70"/>
      <c r="D998" s="70"/>
      <c r="E998" s="52"/>
    </row>
    <row r="999">
      <c r="A999" s="71"/>
      <c r="C999" s="70"/>
      <c r="D999" s="70"/>
      <c r="E999" s="52"/>
    </row>
    <row r="1000">
      <c r="A1000" s="71"/>
      <c r="C1000" s="70"/>
      <c r="D1000" s="70"/>
      <c r="E1000" s="5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35.0"/>
    <col customWidth="1" min="3" max="3" width="54.25"/>
    <col customWidth="1" min="4" max="4" width="103.75"/>
    <col customWidth="1" min="5" max="5" width="69.13"/>
    <col customWidth="1" min="6" max="6" width="31.63"/>
    <col customWidth="1" min="7" max="7" width="43.25"/>
    <col customWidth="1" min="8" max="8" width="39.5"/>
    <col customWidth="1" min="9" max="9" width="26.75"/>
  </cols>
  <sheetData>
    <row r="1">
      <c r="A1" s="4" t="s">
        <v>19</v>
      </c>
      <c r="B1" s="4" t="s">
        <v>1766</v>
      </c>
      <c r="C1" s="4" t="s">
        <v>67</v>
      </c>
      <c r="D1" s="4" t="s">
        <v>60</v>
      </c>
      <c r="E1" s="4" t="s">
        <v>78</v>
      </c>
      <c r="F1" s="4" t="s">
        <v>100</v>
      </c>
      <c r="G1" s="4" t="s">
        <v>1145</v>
      </c>
      <c r="H1" s="4" t="s">
        <v>1767</v>
      </c>
      <c r="I1" s="4" t="s">
        <v>114</v>
      </c>
    </row>
    <row r="2">
      <c r="A2" s="4" t="s">
        <v>1768</v>
      </c>
      <c r="B2" s="4" t="s">
        <v>1769</v>
      </c>
      <c r="C2" s="4" t="s">
        <v>1770</v>
      </c>
      <c r="D2" s="4" t="s">
        <v>1771</v>
      </c>
      <c r="E2" s="4" t="s">
        <v>1770</v>
      </c>
      <c r="F2" s="4" t="s">
        <v>1770</v>
      </c>
      <c r="G2" s="4" t="s">
        <v>1772</v>
      </c>
      <c r="H2" s="4" t="s">
        <v>1773</v>
      </c>
      <c r="I2" s="4" t="s">
        <v>1770</v>
      </c>
    </row>
    <row r="3">
      <c r="A3" s="4" t="s">
        <v>1774</v>
      </c>
      <c r="B3" s="4" t="s">
        <v>1775</v>
      </c>
      <c r="C3" s="4" t="s">
        <v>1776</v>
      </c>
      <c r="D3" s="4" t="s">
        <v>1770</v>
      </c>
      <c r="E3" s="4" t="s">
        <v>1777</v>
      </c>
      <c r="F3" s="4" t="s">
        <v>1778</v>
      </c>
      <c r="G3" s="4" t="s">
        <v>1779</v>
      </c>
      <c r="H3" s="4" t="s">
        <v>1780</v>
      </c>
      <c r="I3" s="4" t="s">
        <v>1781</v>
      </c>
    </row>
    <row r="4">
      <c r="A4" s="4" t="s">
        <v>1782</v>
      </c>
      <c r="B4" s="4" t="s">
        <v>1783</v>
      </c>
      <c r="C4" s="4" t="s">
        <v>1784</v>
      </c>
      <c r="D4" s="4" t="s">
        <v>1785</v>
      </c>
      <c r="E4" s="4" t="s">
        <v>1786</v>
      </c>
      <c r="F4" s="4" t="s">
        <v>1787</v>
      </c>
      <c r="G4" s="4" t="s">
        <v>1788</v>
      </c>
      <c r="H4" s="4" t="s">
        <v>1789</v>
      </c>
      <c r="I4" s="4" t="s">
        <v>1790</v>
      </c>
    </row>
    <row r="5">
      <c r="A5" s="4" t="s">
        <v>1791</v>
      </c>
      <c r="B5" s="4" t="s">
        <v>1792</v>
      </c>
      <c r="C5" s="4" t="s">
        <v>1793</v>
      </c>
      <c r="D5" s="4" t="s">
        <v>1794</v>
      </c>
      <c r="E5" s="4" t="s">
        <v>1795</v>
      </c>
      <c r="F5" s="4" t="s">
        <v>1796</v>
      </c>
      <c r="G5" s="4" t="s">
        <v>1797</v>
      </c>
      <c r="H5" s="4" t="s">
        <v>1798</v>
      </c>
      <c r="I5" s="4" t="s">
        <v>1799</v>
      </c>
    </row>
    <row r="6">
      <c r="A6" s="4" t="s">
        <v>1800</v>
      </c>
      <c r="B6" s="4" t="s">
        <v>1801</v>
      </c>
      <c r="D6" s="4" t="s">
        <v>1802</v>
      </c>
      <c r="E6" s="4" t="s">
        <v>1803</v>
      </c>
      <c r="F6" s="4" t="s">
        <v>1804</v>
      </c>
      <c r="G6" s="4" t="s">
        <v>1805</v>
      </c>
      <c r="H6" s="4" t="s">
        <v>1806</v>
      </c>
      <c r="I6" s="4" t="s">
        <v>1807</v>
      </c>
    </row>
    <row r="7">
      <c r="A7" s="4" t="s">
        <v>1808</v>
      </c>
      <c r="B7" s="4" t="s">
        <v>1809</v>
      </c>
      <c r="D7" s="4" t="s">
        <v>1810</v>
      </c>
      <c r="E7" s="4" t="s">
        <v>1811</v>
      </c>
      <c r="F7" s="4" t="s">
        <v>1808</v>
      </c>
      <c r="G7" s="4" t="s">
        <v>1812</v>
      </c>
      <c r="H7" s="4" t="s">
        <v>1813</v>
      </c>
      <c r="I7" s="4" t="s">
        <v>1814</v>
      </c>
    </row>
    <row r="8">
      <c r="A8" s="4" t="s">
        <v>1815</v>
      </c>
      <c r="B8" s="4" t="s">
        <v>1816</v>
      </c>
      <c r="D8" s="4" t="s">
        <v>1817</v>
      </c>
      <c r="E8" s="4" t="s">
        <v>1818</v>
      </c>
      <c r="F8" s="4" t="s">
        <v>1815</v>
      </c>
      <c r="G8" s="4" t="s">
        <v>1819</v>
      </c>
      <c r="H8" s="4" t="s">
        <v>1820</v>
      </c>
      <c r="I8" s="4" t="s">
        <v>1821</v>
      </c>
    </row>
    <row r="9">
      <c r="A9" s="4" t="s">
        <v>1822</v>
      </c>
      <c r="B9" s="4" t="s">
        <v>1823</v>
      </c>
      <c r="D9" s="4" t="s">
        <v>1824</v>
      </c>
      <c r="F9" s="4" t="s">
        <v>1822</v>
      </c>
      <c r="G9" s="4" t="s">
        <v>1825</v>
      </c>
      <c r="H9" s="4" t="s">
        <v>1826</v>
      </c>
      <c r="I9" s="4" t="s">
        <v>1827</v>
      </c>
    </row>
    <row r="10">
      <c r="A10" s="4" t="s">
        <v>1828</v>
      </c>
      <c r="B10" s="4" t="s">
        <v>1829</v>
      </c>
      <c r="D10" s="4" t="s">
        <v>1830</v>
      </c>
      <c r="F10" s="4" t="s">
        <v>1828</v>
      </c>
      <c r="G10" s="4" t="s">
        <v>1831</v>
      </c>
      <c r="H10" s="4" t="s">
        <v>1832</v>
      </c>
      <c r="I10" s="4" t="s">
        <v>1833</v>
      </c>
    </row>
    <row r="11">
      <c r="B11" s="4" t="s">
        <v>1834</v>
      </c>
      <c r="D11" s="4" t="s">
        <v>1835</v>
      </c>
      <c r="G11" s="4" t="s">
        <v>1836</v>
      </c>
      <c r="H11" s="4" t="s">
        <v>1837</v>
      </c>
      <c r="I11" s="4" t="s">
        <v>1838</v>
      </c>
    </row>
    <row r="12">
      <c r="D12" s="4" t="s">
        <v>1839</v>
      </c>
      <c r="G12" s="4" t="s">
        <v>1840</v>
      </c>
      <c r="I12" s="4" t="s">
        <v>1841</v>
      </c>
    </row>
    <row r="13">
      <c r="D13" s="4" t="s">
        <v>1842</v>
      </c>
      <c r="G13" s="4" t="s">
        <v>1843</v>
      </c>
    </row>
    <row r="14">
      <c r="D14" s="4" t="s">
        <v>1844</v>
      </c>
      <c r="G14" s="4" t="s">
        <v>1845</v>
      </c>
    </row>
    <row r="15">
      <c r="D15" s="4" t="s">
        <v>1846</v>
      </c>
    </row>
    <row r="16">
      <c r="D16" s="4" t="s">
        <v>1847</v>
      </c>
    </row>
    <row r="17">
      <c r="D17" s="4" t="s">
        <v>1848</v>
      </c>
    </row>
    <row r="18">
      <c r="D18" s="4" t="s">
        <v>1849</v>
      </c>
    </row>
    <row r="19">
      <c r="D19" s="4" t="s">
        <v>1850</v>
      </c>
    </row>
    <row r="20">
      <c r="D20" s="4" t="s">
        <v>1851</v>
      </c>
    </row>
    <row r="21">
      <c r="D21" s="4" t="s">
        <v>1852</v>
      </c>
    </row>
    <row r="22">
      <c r="D22" s="4" t="s">
        <v>1853</v>
      </c>
    </row>
    <row r="23">
      <c r="D23" s="4" t="s">
        <v>1854</v>
      </c>
    </row>
    <row r="24">
      <c r="D24" s="4" t="s">
        <v>1855</v>
      </c>
    </row>
    <row r="25">
      <c r="D25" s="4" t="s">
        <v>1856</v>
      </c>
    </row>
    <row r="26">
      <c r="D26" s="4" t="s">
        <v>1857</v>
      </c>
    </row>
    <row r="27">
      <c r="D27" s="4" t="s">
        <v>1858</v>
      </c>
    </row>
    <row r="28">
      <c r="D28" s="4" t="s">
        <v>1859</v>
      </c>
    </row>
    <row r="29">
      <c r="D29" s="4" t="s">
        <v>1860</v>
      </c>
    </row>
    <row r="30">
      <c r="D30" s="4" t="s">
        <v>1861</v>
      </c>
    </row>
    <row r="31">
      <c r="D31" s="4" t="s">
        <v>1862</v>
      </c>
    </row>
    <row r="32">
      <c r="D32" s="4" t="s">
        <v>1863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1760</v>
      </c>
      <c r="B1" s="11"/>
      <c r="E1" s="4" t="s">
        <v>1762</v>
      </c>
    </row>
    <row r="2">
      <c r="B2" s="3" t="s">
        <v>0</v>
      </c>
      <c r="C2" s="4" t="s">
        <v>1352</v>
      </c>
      <c r="F2" s="4" t="s">
        <v>0</v>
      </c>
      <c r="G2" s="4" t="s">
        <v>1352</v>
      </c>
    </row>
    <row r="3">
      <c r="B3" s="11"/>
    </row>
    <row r="4">
      <c r="B4" s="3" t="s">
        <v>1864</v>
      </c>
      <c r="F4" s="4" t="s">
        <v>1865</v>
      </c>
      <c r="G4" s="6">
        <v>1020.0</v>
      </c>
    </row>
    <row r="5">
      <c r="B5" s="3" t="s">
        <v>1866</v>
      </c>
      <c r="F5" s="4" t="s">
        <v>1867</v>
      </c>
      <c r="G5" s="6">
        <v>1140.0</v>
      </c>
    </row>
    <row r="6">
      <c r="B6" s="3" t="s">
        <v>1868</v>
      </c>
      <c r="F6" s="4" t="s">
        <v>1869</v>
      </c>
      <c r="G6" s="70"/>
    </row>
    <row r="7">
      <c r="B7" s="3" t="s">
        <v>1870</v>
      </c>
      <c r="F7" s="4" t="s">
        <v>1871</v>
      </c>
      <c r="G7" s="6">
        <v>1510.0</v>
      </c>
    </row>
    <row r="8">
      <c r="B8" s="3" t="s">
        <v>1872</v>
      </c>
      <c r="F8" s="4" t="s">
        <v>1873</v>
      </c>
      <c r="G8" s="70"/>
    </row>
    <row r="9">
      <c r="B9" s="3" t="s">
        <v>1874</v>
      </c>
      <c r="F9" s="4" t="s">
        <v>1875</v>
      </c>
      <c r="G9" s="70"/>
      <c r="P9" s="4" t="s">
        <v>1876</v>
      </c>
      <c r="Q9" s="4" t="s">
        <v>1877</v>
      </c>
    </row>
    <row r="10">
      <c r="B10" s="3" t="s">
        <v>1878</v>
      </c>
      <c r="F10" s="4" t="s">
        <v>1879</v>
      </c>
      <c r="G10" s="6">
        <v>1070.0</v>
      </c>
      <c r="J10" s="4" t="s">
        <v>1880</v>
      </c>
      <c r="K10" s="4" t="s">
        <v>1881</v>
      </c>
      <c r="L10" s="4" t="s">
        <v>1760</v>
      </c>
      <c r="M10" s="4" t="s">
        <v>1882</v>
      </c>
      <c r="O10" s="4" t="s">
        <v>1760</v>
      </c>
      <c r="P10" s="83">
        <f>average(L21:L41)</f>
        <v>2004.285714</v>
      </c>
      <c r="Q10" s="83">
        <f>average(L112:L126)</f>
        <v>2478.222222</v>
      </c>
    </row>
    <row r="11">
      <c r="B11" s="3" t="s">
        <v>1883</v>
      </c>
      <c r="F11" s="4" t="s">
        <v>1884</v>
      </c>
      <c r="G11" s="6">
        <v>1510.0</v>
      </c>
      <c r="O11" s="4" t="s">
        <v>1762</v>
      </c>
      <c r="P11" s="83">
        <f>average(M21:M41)</f>
        <v>2130</v>
      </c>
      <c r="Q11" s="83">
        <f>average(M112:M126)</f>
        <v>2848.333333</v>
      </c>
    </row>
    <row r="12">
      <c r="B12" s="3" t="s">
        <v>1885</v>
      </c>
      <c r="F12" s="4" t="s">
        <v>1886</v>
      </c>
      <c r="G12" s="70"/>
      <c r="K12" s="4">
        <v>-30.0</v>
      </c>
      <c r="M12" s="70"/>
    </row>
    <row r="13">
      <c r="B13" s="3" t="s">
        <v>1887</v>
      </c>
      <c r="F13" s="4" t="s">
        <v>1888</v>
      </c>
      <c r="G13" s="70"/>
      <c r="K13" s="4">
        <v>-29.0</v>
      </c>
      <c r="M13" s="70"/>
    </row>
    <row r="14">
      <c r="B14" s="3" t="s">
        <v>1889</v>
      </c>
      <c r="C14" s="4">
        <v>2320.0</v>
      </c>
      <c r="F14" s="4" t="s">
        <v>1890</v>
      </c>
      <c r="G14" s="6">
        <v>1630.0</v>
      </c>
      <c r="J14" s="4">
        <v>-4.0</v>
      </c>
      <c r="K14" s="4">
        <v>-28.0</v>
      </c>
      <c r="M14" s="6">
        <v>1400.0</v>
      </c>
    </row>
    <row r="15">
      <c r="B15" s="3" t="s">
        <v>1891</v>
      </c>
      <c r="C15" s="4">
        <v>1900.0</v>
      </c>
      <c r="F15" s="4" t="s">
        <v>1892</v>
      </c>
      <c r="G15" s="70"/>
      <c r="K15" s="4">
        <v>-27.0</v>
      </c>
      <c r="M15" s="6">
        <v>1950.0</v>
      </c>
    </row>
    <row r="16">
      <c r="B16" s="3" t="s">
        <v>1893</v>
      </c>
      <c r="C16" s="4">
        <v>2390.0</v>
      </c>
      <c r="F16" s="4" t="s">
        <v>1894</v>
      </c>
      <c r="G16" s="70"/>
      <c r="K16" s="4">
        <v>-26.0</v>
      </c>
      <c r="M16" s="6">
        <v>2540.0</v>
      </c>
    </row>
    <row r="17">
      <c r="B17" s="3" t="s">
        <v>1895</v>
      </c>
      <c r="C17" s="4">
        <v>1560.0</v>
      </c>
      <c r="F17" s="4" t="s">
        <v>1896</v>
      </c>
      <c r="G17" s="6">
        <v>2180.0</v>
      </c>
      <c r="K17" s="4">
        <v>-25.0</v>
      </c>
      <c r="M17" s="6">
        <v>2500.0</v>
      </c>
    </row>
    <row r="18">
      <c r="B18" s="3" t="s">
        <v>1897</v>
      </c>
      <c r="C18" s="4">
        <v>2000.0</v>
      </c>
      <c r="F18" s="4" t="s">
        <v>1898</v>
      </c>
      <c r="G18" s="70"/>
      <c r="K18" s="4">
        <v>-24.0</v>
      </c>
      <c r="M18" s="70"/>
    </row>
    <row r="19">
      <c r="B19" s="3" t="s">
        <v>1899</v>
      </c>
      <c r="C19" s="4">
        <v>0.0</v>
      </c>
      <c r="F19" s="4" t="s">
        <v>1900</v>
      </c>
      <c r="G19" s="6">
        <v>2560.0</v>
      </c>
      <c r="K19" s="4">
        <v>-23.0</v>
      </c>
      <c r="M19" s="70"/>
    </row>
    <row r="20">
      <c r="B20" s="3" t="s">
        <v>1901</v>
      </c>
      <c r="C20" s="4">
        <v>0.0</v>
      </c>
      <c r="F20" s="4" t="s">
        <v>1902</v>
      </c>
      <c r="G20" s="6">
        <v>2950.0</v>
      </c>
      <c r="K20" s="4">
        <v>-22.0</v>
      </c>
      <c r="M20" s="6">
        <v>3020.0</v>
      </c>
    </row>
    <row r="21">
      <c r="B21" s="3" t="s">
        <v>1903</v>
      </c>
      <c r="C21" s="4">
        <v>2310.0</v>
      </c>
      <c r="F21" s="4" t="s">
        <v>1904</v>
      </c>
      <c r="G21" s="70"/>
      <c r="J21" s="4">
        <v>-3.0</v>
      </c>
      <c r="K21" s="4">
        <v>-21.0</v>
      </c>
      <c r="M21" s="6">
        <v>1650.0</v>
      </c>
    </row>
    <row r="22">
      <c r="B22" s="3" t="s">
        <v>1905</v>
      </c>
      <c r="C22" s="4">
        <v>1550.0</v>
      </c>
      <c r="F22" s="4" t="s">
        <v>1906</v>
      </c>
      <c r="G22" s="70"/>
      <c r="K22" s="4">
        <v>-20.0</v>
      </c>
      <c r="M22" s="6">
        <v>2480.0</v>
      </c>
    </row>
    <row r="23">
      <c r="A23" s="4">
        <v>0.0</v>
      </c>
      <c r="B23" s="84" t="s">
        <v>1907</v>
      </c>
      <c r="F23" s="4" t="s">
        <v>1908</v>
      </c>
      <c r="G23" s="70"/>
      <c r="K23" s="4">
        <v>-19.0</v>
      </c>
      <c r="M23" s="6">
        <v>1410.0</v>
      </c>
    </row>
    <row r="24">
      <c r="A24" s="4">
        <v>1.0</v>
      </c>
      <c r="B24" s="3" t="s">
        <v>1909</v>
      </c>
      <c r="C24" s="4">
        <v>2080.0</v>
      </c>
      <c r="F24" s="4" t="s">
        <v>1910</v>
      </c>
      <c r="G24" s="70"/>
      <c r="K24" s="4">
        <v>-18.0</v>
      </c>
      <c r="M24" s="70"/>
    </row>
    <row r="25">
      <c r="A25" s="4">
        <v>2.0</v>
      </c>
      <c r="B25" s="3" t="s">
        <v>1911</v>
      </c>
      <c r="C25" s="4">
        <v>2410.0</v>
      </c>
      <c r="F25" s="4" t="s">
        <v>1912</v>
      </c>
      <c r="G25" s="6">
        <v>1400.0</v>
      </c>
      <c r="K25" s="4">
        <v>-17.0</v>
      </c>
      <c r="M25" s="70"/>
    </row>
    <row r="26">
      <c r="A26" s="4">
        <v>3.0</v>
      </c>
      <c r="B26" s="3" t="s">
        <v>1913</v>
      </c>
      <c r="F26" s="4" t="s">
        <v>1914</v>
      </c>
      <c r="G26" s="6">
        <v>1950.0</v>
      </c>
      <c r="K26" s="4">
        <v>-16.0</v>
      </c>
    </row>
    <row r="27">
      <c r="A27" s="4">
        <v>4.0</v>
      </c>
      <c r="B27" s="3" t="s">
        <v>1915</v>
      </c>
      <c r="F27" s="4" t="s">
        <v>1916</v>
      </c>
      <c r="G27" s="6">
        <v>2540.0</v>
      </c>
      <c r="K27" s="4">
        <v>-15.0</v>
      </c>
      <c r="M27" s="6">
        <v>2590.0</v>
      </c>
    </row>
    <row r="28">
      <c r="A28" s="4">
        <v>5.0</v>
      </c>
      <c r="B28" s="3" t="s">
        <v>1917</v>
      </c>
      <c r="C28" s="4">
        <v>1470.0</v>
      </c>
      <c r="F28" s="4" t="s">
        <v>1918</v>
      </c>
      <c r="G28" s="6">
        <v>2500.0</v>
      </c>
      <c r="J28" s="4">
        <v>-2.0</v>
      </c>
      <c r="K28" s="4">
        <v>-14.0</v>
      </c>
      <c r="M28" s="6">
        <v>2070.0</v>
      </c>
    </row>
    <row r="29">
      <c r="A29" s="4">
        <v>6.0</v>
      </c>
      <c r="B29" s="3" t="s">
        <v>1919</v>
      </c>
      <c r="C29" s="4">
        <v>1820.0</v>
      </c>
      <c r="F29" s="4" t="s">
        <v>1920</v>
      </c>
      <c r="G29" s="70"/>
      <c r="K29" s="4">
        <v>-13.0</v>
      </c>
    </row>
    <row r="30">
      <c r="A30" s="4">
        <v>7.0</v>
      </c>
      <c r="B30" s="3" t="s">
        <v>1921</v>
      </c>
      <c r="C30" s="4">
        <v>1170.0</v>
      </c>
      <c r="F30" s="4" t="s">
        <v>1922</v>
      </c>
      <c r="G30" s="70"/>
      <c r="K30" s="4">
        <v>-12.0</v>
      </c>
    </row>
    <row r="31">
      <c r="A31" s="4">
        <v>8.0</v>
      </c>
      <c r="B31" s="3" t="s">
        <v>1923</v>
      </c>
      <c r="C31" s="4">
        <v>1950.0</v>
      </c>
      <c r="F31" s="4" t="s">
        <v>1924</v>
      </c>
      <c r="G31" s="6">
        <v>3020.0</v>
      </c>
      <c r="K31" s="4">
        <v>-11.0</v>
      </c>
      <c r="M31" s="70"/>
    </row>
    <row r="32">
      <c r="A32" s="4">
        <v>9.0</v>
      </c>
      <c r="B32" s="3" t="s">
        <v>1925</v>
      </c>
      <c r="C32" s="4">
        <v>2280.0</v>
      </c>
      <c r="F32" s="4" t="s">
        <v>1926</v>
      </c>
      <c r="G32" s="6">
        <v>1650.0</v>
      </c>
      <c r="K32" s="4">
        <v>-10.0</v>
      </c>
      <c r="M32" s="70"/>
    </row>
    <row r="33">
      <c r="A33" s="4">
        <v>10.0</v>
      </c>
      <c r="B33" s="3" t="s">
        <v>1927</v>
      </c>
      <c r="F33" s="4" t="s">
        <v>1928</v>
      </c>
      <c r="G33" s="6">
        <v>2480.0</v>
      </c>
      <c r="K33" s="4">
        <v>-9.0</v>
      </c>
      <c r="L33" s="4">
        <v>2320.0</v>
      </c>
      <c r="M33" s="70"/>
    </row>
    <row r="34">
      <c r="A34" s="4">
        <v>11.0</v>
      </c>
      <c r="B34" s="3" t="s">
        <v>1929</v>
      </c>
      <c r="F34" s="4" t="s">
        <v>1930</v>
      </c>
      <c r="G34" s="6">
        <v>1410.0</v>
      </c>
      <c r="K34" s="4">
        <v>-8.0</v>
      </c>
      <c r="L34" s="4">
        <v>1900.0</v>
      </c>
      <c r="M34" s="70"/>
    </row>
    <row r="35">
      <c r="A35" s="4">
        <v>12.0</v>
      </c>
      <c r="B35" s="3" t="s">
        <v>1931</v>
      </c>
      <c r="F35" s="4" t="s">
        <v>1932</v>
      </c>
      <c r="G35" s="70"/>
      <c r="J35" s="4">
        <v>-1.0</v>
      </c>
      <c r="K35" s="4">
        <v>-7.0</v>
      </c>
      <c r="L35" s="4">
        <v>2390.0</v>
      </c>
      <c r="M35" s="70"/>
    </row>
    <row r="36">
      <c r="A36" s="4">
        <v>13.0</v>
      </c>
      <c r="B36" s="3" t="s">
        <v>1933</v>
      </c>
      <c r="C36" s="4">
        <v>2010.0</v>
      </c>
      <c r="F36" s="4" t="s">
        <v>1934</v>
      </c>
      <c r="G36" s="70"/>
      <c r="K36" s="4">
        <v>-6.0</v>
      </c>
      <c r="L36" s="4">
        <v>1560.0</v>
      </c>
      <c r="M36" s="70"/>
    </row>
    <row r="37">
      <c r="A37" s="4">
        <v>14.0</v>
      </c>
      <c r="B37" s="3" t="s">
        <v>1935</v>
      </c>
      <c r="C37" s="4">
        <v>2560.0</v>
      </c>
      <c r="F37" s="4" t="s">
        <v>1936</v>
      </c>
      <c r="K37" s="4">
        <v>-5.0</v>
      </c>
      <c r="L37" s="4">
        <v>2000.0</v>
      </c>
      <c r="M37" s="70"/>
    </row>
    <row r="38">
      <c r="A38" s="4">
        <v>15.0</v>
      </c>
      <c r="B38" s="3" t="s">
        <v>1937</v>
      </c>
      <c r="C38" s="4">
        <v>1480.0</v>
      </c>
      <c r="F38" s="4" t="s">
        <v>1938</v>
      </c>
      <c r="G38" s="6">
        <v>2590.0</v>
      </c>
      <c r="K38" s="4">
        <v>-4.0</v>
      </c>
      <c r="M38" s="70"/>
    </row>
    <row r="39">
      <c r="A39" s="4">
        <v>16.0</v>
      </c>
      <c r="B39" s="3" t="s">
        <v>1939</v>
      </c>
      <c r="C39" s="4">
        <v>1490.0</v>
      </c>
      <c r="F39" s="4" t="s">
        <v>1940</v>
      </c>
      <c r="G39" s="6">
        <v>2070.0</v>
      </c>
      <c r="K39" s="4">
        <v>-3.0</v>
      </c>
      <c r="M39" s="70"/>
    </row>
    <row r="40">
      <c r="A40" s="4">
        <v>17.0</v>
      </c>
      <c r="B40" s="3" t="s">
        <v>1941</v>
      </c>
      <c r="F40" s="4" t="s">
        <v>1942</v>
      </c>
      <c r="K40" s="4">
        <v>-2.0</v>
      </c>
      <c r="L40" s="4">
        <v>2310.0</v>
      </c>
      <c r="M40" s="70"/>
    </row>
    <row r="41">
      <c r="A41" s="4">
        <v>18.0</v>
      </c>
      <c r="B41" s="3" t="s">
        <v>1943</v>
      </c>
      <c r="F41" s="4" t="s">
        <v>1944</v>
      </c>
      <c r="K41" s="4">
        <v>-1.0</v>
      </c>
      <c r="L41" s="4">
        <v>1550.0</v>
      </c>
      <c r="M41" s="6">
        <v>2580.0</v>
      </c>
    </row>
    <row r="42">
      <c r="A42" s="4">
        <v>19.0</v>
      </c>
      <c r="B42" s="3" t="s">
        <v>1945</v>
      </c>
      <c r="C42" s="4">
        <v>2580.0</v>
      </c>
      <c r="F42" s="4" t="s">
        <v>1946</v>
      </c>
      <c r="G42" s="70"/>
      <c r="J42" s="85">
        <v>0.0</v>
      </c>
      <c r="K42" s="85">
        <v>0.0</v>
      </c>
      <c r="M42" s="6">
        <v>1320.0</v>
      </c>
    </row>
    <row r="43">
      <c r="A43" s="4">
        <v>20.0</v>
      </c>
      <c r="B43" s="3" t="s">
        <v>1947</v>
      </c>
      <c r="C43" s="4">
        <v>2710.0</v>
      </c>
      <c r="F43" s="4" t="s">
        <v>1948</v>
      </c>
      <c r="G43" s="70"/>
      <c r="K43" s="4">
        <v>1.0</v>
      </c>
      <c r="L43" s="4">
        <v>2080.0</v>
      </c>
      <c r="M43" s="6">
        <v>2560.0</v>
      </c>
    </row>
    <row r="44">
      <c r="A44" s="4">
        <v>21.0</v>
      </c>
      <c r="B44" s="3" t="s">
        <v>1949</v>
      </c>
      <c r="C44" s="4">
        <v>2170.0</v>
      </c>
      <c r="F44" s="4" t="s">
        <v>1950</v>
      </c>
      <c r="G44" s="70"/>
      <c r="K44" s="4">
        <v>2.0</v>
      </c>
      <c r="L44" s="4">
        <v>2410.0</v>
      </c>
      <c r="M44" s="6">
        <v>1550.0</v>
      </c>
    </row>
    <row r="45">
      <c r="A45" s="4">
        <v>22.0</v>
      </c>
      <c r="B45" s="3" t="s">
        <v>1951</v>
      </c>
      <c r="C45" s="4">
        <v>3010.0</v>
      </c>
      <c r="F45" s="4" t="s">
        <v>1952</v>
      </c>
      <c r="G45" s="70"/>
      <c r="K45" s="4">
        <v>3.0</v>
      </c>
      <c r="M45" s="6">
        <v>3640.0</v>
      </c>
    </row>
    <row r="46">
      <c r="A46" s="4">
        <v>23.0</v>
      </c>
      <c r="B46" s="3" t="s">
        <v>1953</v>
      </c>
      <c r="C46" s="4">
        <v>2540.0</v>
      </c>
      <c r="F46" s="4" t="s">
        <v>1954</v>
      </c>
      <c r="G46" s="70"/>
      <c r="K46" s="4">
        <v>4.0</v>
      </c>
      <c r="M46" s="70"/>
    </row>
    <row r="47">
      <c r="A47" s="4">
        <v>24.0</v>
      </c>
      <c r="B47" s="3" t="s">
        <v>1955</v>
      </c>
      <c r="F47" s="4" t="s">
        <v>1956</v>
      </c>
      <c r="G47" s="70"/>
      <c r="K47" s="4">
        <v>5.0</v>
      </c>
      <c r="L47" s="4">
        <v>1470.0</v>
      </c>
      <c r="M47" s="70"/>
    </row>
    <row r="48">
      <c r="A48" s="4">
        <v>25.0</v>
      </c>
      <c r="B48" s="3" t="s">
        <v>1957</v>
      </c>
      <c r="F48" s="4" t="s">
        <v>1958</v>
      </c>
      <c r="G48" s="70"/>
      <c r="K48" s="4">
        <v>6.0</v>
      </c>
      <c r="L48" s="4">
        <v>1820.0</v>
      </c>
      <c r="M48" s="6">
        <v>3530.0</v>
      </c>
    </row>
    <row r="49">
      <c r="A49" s="4">
        <v>26.0</v>
      </c>
      <c r="B49" s="3" t="s">
        <v>1959</v>
      </c>
      <c r="C49" s="4">
        <v>1870.0</v>
      </c>
      <c r="F49" s="4" t="s">
        <v>1960</v>
      </c>
      <c r="G49" s="70"/>
      <c r="J49" s="4">
        <v>1.0</v>
      </c>
      <c r="K49" s="4">
        <v>7.0</v>
      </c>
      <c r="L49" s="4">
        <v>1170.0</v>
      </c>
      <c r="M49" s="6">
        <v>3720.0</v>
      </c>
    </row>
    <row r="50">
      <c r="A50" s="4">
        <v>27.0</v>
      </c>
      <c r="B50" s="3" t="s">
        <v>1961</v>
      </c>
      <c r="C50" s="4">
        <v>3190.0</v>
      </c>
      <c r="F50" s="4" t="s">
        <v>1962</v>
      </c>
      <c r="G50" s="70"/>
      <c r="K50" s="4">
        <v>8.0</v>
      </c>
      <c r="L50" s="4">
        <v>1950.0</v>
      </c>
      <c r="M50" s="70"/>
    </row>
    <row r="51">
      <c r="A51" s="4">
        <v>28.0</v>
      </c>
      <c r="B51" s="3" t="s">
        <v>1963</v>
      </c>
      <c r="C51" s="4">
        <v>2120.0</v>
      </c>
      <c r="F51" s="4" t="s">
        <v>1964</v>
      </c>
      <c r="G51" s="70"/>
      <c r="K51" s="4">
        <v>9.0</v>
      </c>
      <c r="L51" s="4">
        <v>2280.0</v>
      </c>
      <c r="M51" s="6">
        <v>3670.0</v>
      </c>
    </row>
    <row r="52">
      <c r="A52" s="4">
        <v>29.0</v>
      </c>
      <c r="B52" s="3" t="s">
        <v>1965</v>
      </c>
      <c r="C52" s="4">
        <v>3120.0</v>
      </c>
      <c r="F52" s="4" t="s">
        <v>1966</v>
      </c>
      <c r="G52" s="6">
        <v>2580.0</v>
      </c>
      <c r="K52" s="4">
        <v>10.0</v>
      </c>
      <c r="M52" s="6">
        <v>3480.0</v>
      </c>
    </row>
    <row r="53">
      <c r="A53" s="4">
        <v>30.0</v>
      </c>
      <c r="B53" s="3" t="s">
        <v>1967</v>
      </c>
      <c r="C53" s="4">
        <v>3380.0</v>
      </c>
      <c r="F53" s="85" t="s">
        <v>1968</v>
      </c>
      <c r="G53" s="6">
        <v>1320.0</v>
      </c>
      <c r="K53" s="4">
        <v>11.0</v>
      </c>
      <c r="M53" s="70"/>
    </row>
    <row r="54">
      <c r="A54" s="4">
        <v>31.0</v>
      </c>
      <c r="B54" s="3" t="s">
        <v>1969</v>
      </c>
      <c r="F54" s="4" t="s">
        <v>1970</v>
      </c>
      <c r="G54" s="6">
        <v>2560.0</v>
      </c>
      <c r="K54" s="4">
        <v>12.0</v>
      </c>
      <c r="M54" s="70"/>
    </row>
    <row r="55">
      <c r="A55" s="4">
        <v>32.0</v>
      </c>
      <c r="B55" s="3" t="s">
        <v>1971</v>
      </c>
      <c r="F55" s="4" t="s">
        <v>1972</v>
      </c>
      <c r="G55" s="6">
        <v>1550.0</v>
      </c>
      <c r="K55" s="4">
        <v>13.0</v>
      </c>
      <c r="L55" s="4">
        <v>2010.0</v>
      </c>
      <c r="M55" s="6">
        <v>3680.0</v>
      </c>
    </row>
    <row r="56">
      <c r="A56" s="4">
        <v>33.0</v>
      </c>
      <c r="B56" s="3" t="s">
        <v>1973</v>
      </c>
      <c r="C56" s="4">
        <v>3200.0</v>
      </c>
      <c r="F56" s="4" t="s">
        <v>1974</v>
      </c>
      <c r="G56" s="6">
        <v>3640.0</v>
      </c>
      <c r="J56" s="4">
        <v>2.0</v>
      </c>
      <c r="K56" s="4">
        <v>14.0</v>
      </c>
      <c r="L56" s="4">
        <v>2560.0</v>
      </c>
      <c r="M56" s="70"/>
    </row>
    <row r="57">
      <c r="A57" s="4">
        <v>34.0</v>
      </c>
      <c r="B57" s="3" t="s">
        <v>1975</v>
      </c>
      <c r="C57" s="4">
        <v>1400.0</v>
      </c>
      <c r="F57" s="4" t="s">
        <v>1976</v>
      </c>
      <c r="G57" s="70"/>
      <c r="K57" s="4">
        <v>15.0</v>
      </c>
      <c r="L57" s="4">
        <v>1480.0</v>
      </c>
      <c r="M57" s="6">
        <v>3520.0</v>
      </c>
    </row>
    <row r="58">
      <c r="A58" s="4">
        <v>35.0</v>
      </c>
      <c r="B58" s="3" t="s">
        <v>1977</v>
      </c>
      <c r="C58" s="4">
        <v>2620.0</v>
      </c>
      <c r="F58" s="4" t="s">
        <v>1978</v>
      </c>
      <c r="G58" s="70"/>
      <c r="K58" s="4">
        <v>16.0</v>
      </c>
      <c r="L58" s="4">
        <v>1490.0</v>
      </c>
      <c r="M58" s="6">
        <v>3280.0</v>
      </c>
    </row>
    <row r="59">
      <c r="A59" s="4">
        <v>36.0</v>
      </c>
      <c r="B59" s="3" t="s">
        <v>1979</v>
      </c>
      <c r="F59" s="4" t="s">
        <v>1980</v>
      </c>
      <c r="G59" s="6">
        <v>3530.0</v>
      </c>
      <c r="K59" s="4">
        <v>17.0</v>
      </c>
      <c r="M59" s="6">
        <v>3150.0</v>
      </c>
    </row>
    <row r="60">
      <c r="A60" s="4">
        <v>37.0</v>
      </c>
      <c r="B60" s="3" t="s">
        <v>1981</v>
      </c>
      <c r="F60" s="4" t="s">
        <v>1982</v>
      </c>
      <c r="G60" s="6">
        <v>3720.0</v>
      </c>
      <c r="K60" s="4">
        <v>18.0</v>
      </c>
      <c r="M60" s="70"/>
    </row>
    <row r="61">
      <c r="A61" s="4">
        <v>38.0</v>
      </c>
      <c r="B61" s="3" t="s">
        <v>1983</v>
      </c>
      <c r="F61" s="4" t="s">
        <v>1984</v>
      </c>
      <c r="G61" s="70"/>
      <c r="K61" s="4">
        <v>19.0</v>
      </c>
      <c r="L61" s="4">
        <v>2580.0</v>
      </c>
      <c r="M61" s="70"/>
    </row>
    <row r="62">
      <c r="A62" s="4">
        <v>39.0</v>
      </c>
      <c r="B62" s="3" t="s">
        <v>1985</v>
      </c>
      <c r="C62" s="4">
        <v>2740.0</v>
      </c>
      <c r="F62" s="4" t="s">
        <v>1986</v>
      </c>
      <c r="G62" s="6">
        <v>3670.0</v>
      </c>
      <c r="K62" s="4">
        <v>20.0</v>
      </c>
      <c r="L62" s="4">
        <v>2710.0</v>
      </c>
      <c r="M62" s="6">
        <v>3210.0</v>
      </c>
    </row>
    <row r="63">
      <c r="A63" s="4">
        <v>40.0</v>
      </c>
      <c r="B63" s="3" t="s">
        <v>1987</v>
      </c>
      <c r="C63" s="4">
        <v>2860.0</v>
      </c>
      <c r="F63" s="4" t="s">
        <v>1988</v>
      </c>
      <c r="G63" s="6">
        <v>3480.0</v>
      </c>
      <c r="J63" s="4">
        <v>3.0</v>
      </c>
      <c r="K63" s="4">
        <v>21.0</v>
      </c>
      <c r="L63" s="4">
        <v>2170.0</v>
      </c>
      <c r="M63" s="70"/>
    </row>
    <row r="64">
      <c r="A64" s="4">
        <v>41.0</v>
      </c>
      <c r="B64" s="3" t="s">
        <v>1989</v>
      </c>
      <c r="C64" s="4">
        <v>3330.0</v>
      </c>
      <c r="F64" s="4" t="s">
        <v>1990</v>
      </c>
      <c r="G64" s="70"/>
      <c r="K64" s="4">
        <v>22.0</v>
      </c>
      <c r="L64" s="4">
        <v>3010.0</v>
      </c>
      <c r="M64" s="6">
        <v>3630.0</v>
      </c>
    </row>
    <row r="65">
      <c r="A65" s="4">
        <v>42.0</v>
      </c>
      <c r="B65" s="3" t="s">
        <v>1991</v>
      </c>
      <c r="C65" s="4">
        <v>2510.0</v>
      </c>
      <c r="F65" s="4" t="s">
        <v>1992</v>
      </c>
      <c r="G65" s="70"/>
      <c r="K65" s="4">
        <v>23.0</v>
      </c>
      <c r="L65" s="4">
        <v>2540.0</v>
      </c>
      <c r="M65" s="6">
        <v>3610.0</v>
      </c>
    </row>
    <row r="66">
      <c r="A66" s="4">
        <v>43.0</v>
      </c>
      <c r="B66" s="3" t="s">
        <v>1993</v>
      </c>
      <c r="C66" s="4">
        <v>2970.0</v>
      </c>
      <c r="F66" s="4" t="s">
        <v>1994</v>
      </c>
      <c r="G66" s="6">
        <v>3680.0</v>
      </c>
      <c r="K66" s="4">
        <v>24.0</v>
      </c>
      <c r="M66" s="6">
        <v>3550.0</v>
      </c>
    </row>
    <row r="67">
      <c r="A67" s="4">
        <v>44.0</v>
      </c>
      <c r="B67" s="3" t="s">
        <v>1995</v>
      </c>
      <c r="F67" s="4" t="s">
        <v>1996</v>
      </c>
      <c r="G67" s="70"/>
      <c r="K67" s="4">
        <v>25.0</v>
      </c>
      <c r="M67" s="70"/>
    </row>
    <row r="68">
      <c r="A68" s="4">
        <v>45.0</v>
      </c>
      <c r="B68" s="3" t="s">
        <v>1997</v>
      </c>
      <c r="F68" s="4" t="s">
        <v>1998</v>
      </c>
      <c r="G68" s="6">
        <v>3520.0</v>
      </c>
      <c r="K68" s="4">
        <v>26.0</v>
      </c>
      <c r="L68" s="4">
        <v>1870.0</v>
      </c>
      <c r="M68" s="70"/>
    </row>
    <row r="69">
      <c r="A69" s="4">
        <v>46.0</v>
      </c>
      <c r="B69" s="3" t="s">
        <v>1999</v>
      </c>
      <c r="F69" s="4" t="s">
        <v>2000</v>
      </c>
      <c r="G69" s="6">
        <v>3280.0</v>
      </c>
      <c r="K69" s="4">
        <v>27.0</v>
      </c>
      <c r="L69" s="4">
        <v>3190.0</v>
      </c>
      <c r="M69" s="6">
        <v>3770.0</v>
      </c>
    </row>
    <row r="70">
      <c r="A70" s="4">
        <v>47.0</v>
      </c>
      <c r="B70" s="3" t="s">
        <v>2001</v>
      </c>
      <c r="C70" s="4">
        <v>3690.0</v>
      </c>
      <c r="F70" s="4" t="s">
        <v>2002</v>
      </c>
      <c r="G70" s="6">
        <v>3150.0</v>
      </c>
      <c r="J70" s="4">
        <v>4.0</v>
      </c>
      <c r="K70" s="4">
        <v>28.0</v>
      </c>
      <c r="L70" s="4">
        <v>2120.0</v>
      </c>
      <c r="M70" s="6">
        <v>3550.0</v>
      </c>
    </row>
    <row r="71">
      <c r="A71" s="4">
        <v>48.0</v>
      </c>
      <c r="B71" s="3" t="s">
        <v>2003</v>
      </c>
      <c r="C71" s="4">
        <v>3050.0</v>
      </c>
      <c r="F71" s="4" t="s">
        <v>2004</v>
      </c>
      <c r="G71" s="70"/>
      <c r="K71" s="4">
        <v>29.0</v>
      </c>
      <c r="L71" s="4">
        <v>3120.0</v>
      </c>
      <c r="M71" s="6">
        <v>3720.0</v>
      </c>
    </row>
    <row r="72">
      <c r="A72" s="4">
        <v>49.0</v>
      </c>
      <c r="B72" s="3" t="s">
        <v>2005</v>
      </c>
      <c r="C72" s="4">
        <v>2760.0</v>
      </c>
      <c r="F72" s="4" t="s">
        <v>2006</v>
      </c>
      <c r="G72" s="70"/>
      <c r="K72" s="4">
        <v>30.0</v>
      </c>
      <c r="L72" s="4">
        <v>3380.0</v>
      </c>
      <c r="M72" s="6">
        <v>3580.0</v>
      </c>
    </row>
    <row r="73">
      <c r="A73" s="4">
        <v>50.0</v>
      </c>
      <c r="B73" s="3" t="s">
        <v>2007</v>
      </c>
      <c r="C73" s="4">
        <v>2390.0</v>
      </c>
      <c r="F73" s="4" t="s">
        <v>2008</v>
      </c>
      <c r="G73" s="6">
        <v>3210.0</v>
      </c>
      <c r="K73" s="4">
        <v>31.0</v>
      </c>
      <c r="M73" s="6">
        <v>3490.0</v>
      </c>
    </row>
    <row r="74">
      <c r="A74" s="4">
        <v>51.0</v>
      </c>
      <c r="B74" s="3" t="s">
        <v>2009</v>
      </c>
      <c r="C74" s="4">
        <v>3040.0</v>
      </c>
      <c r="F74" s="4" t="s">
        <v>2010</v>
      </c>
      <c r="G74" s="70"/>
      <c r="K74" s="4">
        <v>32.0</v>
      </c>
      <c r="M74" s="70"/>
    </row>
    <row r="75">
      <c r="A75" s="4">
        <v>52.0</v>
      </c>
      <c r="B75" s="3" t="s">
        <v>2011</v>
      </c>
      <c r="F75" s="4" t="s">
        <v>2012</v>
      </c>
      <c r="G75" s="6">
        <v>3630.0</v>
      </c>
      <c r="K75" s="4">
        <v>33.0</v>
      </c>
      <c r="L75" s="4">
        <v>3200.0</v>
      </c>
      <c r="M75" s="70"/>
    </row>
    <row r="76">
      <c r="A76" s="4">
        <v>53.0</v>
      </c>
      <c r="B76" s="3" t="s">
        <v>2013</v>
      </c>
      <c r="F76" s="4" t="s">
        <v>2014</v>
      </c>
      <c r="G76" s="6">
        <v>3610.0</v>
      </c>
      <c r="K76" s="4">
        <v>34.0</v>
      </c>
      <c r="L76" s="4">
        <v>1400.0</v>
      </c>
      <c r="M76" s="6">
        <v>3850.0</v>
      </c>
    </row>
    <row r="77">
      <c r="A77" s="4">
        <v>54.0</v>
      </c>
      <c r="B77" s="3" t="s">
        <v>2015</v>
      </c>
      <c r="C77" s="4">
        <v>3130.0</v>
      </c>
      <c r="F77" s="4" t="s">
        <v>2016</v>
      </c>
      <c r="G77" s="6">
        <v>3550.0</v>
      </c>
      <c r="J77" s="4">
        <v>5.0</v>
      </c>
      <c r="K77" s="4">
        <v>35.0</v>
      </c>
      <c r="L77" s="4">
        <v>2620.0</v>
      </c>
      <c r="M77" s="6">
        <v>3580.0</v>
      </c>
    </row>
    <row r="78">
      <c r="A78" s="4">
        <v>55.0</v>
      </c>
      <c r="B78" s="3" t="s">
        <v>2017</v>
      </c>
      <c r="C78" s="4">
        <v>3770.0</v>
      </c>
      <c r="F78" s="4" t="s">
        <v>2018</v>
      </c>
      <c r="G78" s="70"/>
      <c r="K78" s="4">
        <v>36.0</v>
      </c>
      <c r="M78" s="6">
        <v>3570.0</v>
      </c>
    </row>
    <row r="79">
      <c r="A79" s="4">
        <v>56.0</v>
      </c>
      <c r="B79" s="3" t="s">
        <v>2019</v>
      </c>
      <c r="F79" s="4" t="s">
        <v>2020</v>
      </c>
      <c r="G79" s="70"/>
      <c r="K79" s="4">
        <v>37.0</v>
      </c>
      <c r="M79" s="70"/>
    </row>
    <row r="80">
      <c r="A80" s="4">
        <v>57.0</v>
      </c>
      <c r="B80" s="3" t="s">
        <v>2021</v>
      </c>
      <c r="C80" s="4">
        <v>3360.0</v>
      </c>
      <c r="F80" s="4" t="s">
        <v>2022</v>
      </c>
      <c r="G80" s="6">
        <v>3770.0</v>
      </c>
      <c r="K80" s="4">
        <v>38.0</v>
      </c>
      <c r="M80" s="70"/>
    </row>
    <row r="81">
      <c r="A81" s="4">
        <v>58.0</v>
      </c>
      <c r="B81" s="3" t="s">
        <v>2023</v>
      </c>
      <c r="C81" s="4">
        <v>3100.0</v>
      </c>
      <c r="F81" s="4" t="s">
        <v>2024</v>
      </c>
      <c r="G81" s="6">
        <v>3550.0</v>
      </c>
      <c r="K81" s="4">
        <v>39.0</v>
      </c>
      <c r="L81" s="4">
        <v>2740.0</v>
      </c>
      <c r="M81" s="70"/>
    </row>
    <row r="82">
      <c r="A82" s="4">
        <v>59.0</v>
      </c>
      <c r="B82" s="3" t="s">
        <v>2025</v>
      </c>
      <c r="F82" s="4" t="s">
        <v>2026</v>
      </c>
      <c r="G82" s="6">
        <v>3720.0</v>
      </c>
      <c r="K82" s="4">
        <v>40.0</v>
      </c>
      <c r="L82" s="4">
        <v>2860.0</v>
      </c>
      <c r="M82" s="70"/>
    </row>
    <row r="83">
      <c r="A83" s="4">
        <v>60.0</v>
      </c>
      <c r="B83" s="3" t="s">
        <v>2027</v>
      </c>
      <c r="F83" s="4" t="s">
        <v>2028</v>
      </c>
      <c r="G83" s="6">
        <v>3580.0</v>
      </c>
      <c r="K83" s="4">
        <v>41.0</v>
      </c>
      <c r="L83" s="4">
        <v>3330.0</v>
      </c>
      <c r="M83" s="6">
        <v>3800.0</v>
      </c>
    </row>
    <row r="84">
      <c r="B84" s="3" t="s">
        <v>2029</v>
      </c>
      <c r="C84" s="4">
        <v>3300.0</v>
      </c>
      <c r="F84" s="4" t="s">
        <v>2030</v>
      </c>
      <c r="G84" s="6">
        <v>3490.0</v>
      </c>
      <c r="J84" s="4">
        <v>6.0</v>
      </c>
      <c r="K84" s="4">
        <v>42.0</v>
      </c>
      <c r="L84" s="4">
        <v>2510.0</v>
      </c>
      <c r="M84" s="6">
        <v>3680.0</v>
      </c>
    </row>
    <row r="85">
      <c r="B85" s="3" t="s">
        <v>2031</v>
      </c>
      <c r="F85" s="4" t="s">
        <v>2032</v>
      </c>
      <c r="G85" s="70"/>
      <c r="K85" s="4">
        <v>43.0</v>
      </c>
      <c r="L85" s="4">
        <v>2970.0</v>
      </c>
      <c r="M85" s="6">
        <v>3420.0</v>
      </c>
    </row>
    <row r="86">
      <c r="B86" s="3" t="s">
        <v>2033</v>
      </c>
      <c r="C86" s="4">
        <v>2950.0</v>
      </c>
      <c r="F86" s="4" t="s">
        <v>2034</v>
      </c>
      <c r="G86" s="70"/>
      <c r="K86" s="4">
        <v>44.0</v>
      </c>
      <c r="M86" s="6">
        <v>3610.0</v>
      </c>
    </row>
    <row r="87">
      <c r="B87" s="3" t="s">
        <v>2035</v>
      </c>
      <c r="C87" s="4">
        <v>2330.0</v>
      </c>
      <c r="F87" s="4" t="s">
        <v>2036</v>
      </c>
      <c r="G87" s="6">
        <v>3850.0</v>
      </c>
      <c r="K87" s="4">
        <v>45.0</v>
      </c>
      <c r="M87" s="6">
        <v>4000.0</v>
      </c>
    </row>
    <row r="88">
      <c r="B88" s="3" t="s">
        <v>2037</v>
      </c>
      <c r="C88" s="4">
        <v>2480.0</v>
      </c>
      <c r="F88" s="4" t="s">
        <v>2038</v>
      </c>
      <c r="G88" s="6">
        <v>3580.0</v>
      </c>
      <c r="K88" s="4">
        <v>46.0</v>
      </c>
      <c r="M88" s="70"/>
    </row>
    <row r="89">
      <c r="B89" s="3" t="s">
        <v>2039</v>
      </c>
      <c r="F89" s="4" t="s">
        <v>2040</v>
      </c>
      <c r="G89" s="6">
        <v>3570.0</v>
      </c>
      <c r="K89" s="4">
        <v>47.0</v>
      </c>
      <c r="L89" s="4">
        <v>3690.0</v>
      </c>
      <c r="M89" s="70"/>
    </row>
    <row r="90">
      <c r="B90" s="3" t="s">
        <v>2041</v>
      </c>
      <c r="F90" s="4" t="s">
        <v>2042</v>
      </c>
      <c r="G90" s="70"/>
      <c r="K90" s="4">
        <v>48.0</v>
      </c>
      <c r="L90" s="4">
        <v>3050.0</v>
      </c>
    </row>
    <row r="91">
      <c r="B91" s="3" t="s">
        <v>2043</v>
      </c>
      <c r="C91" s="4">
        <v>2590.0</v>
      </c>
      <c r="F91" s="4" t="s">
        <v>2044</v>
      </c>
      <c r="G91" s="70"/>
      <c r="J91" s="4">
        <v>7.0</v>
      </c>
      <c r="K91" s="4">
        <v>49.0</v>
      </c>
      <c r="L91" s="4">
        <v>2760.0</v>
      </c>
      <c r="M91" s="4">
        <v>3520.0</v>
      </c>
    </row>
    <row r="92">
      <c r="B92" s="3" t="s">
        <v>2045</v>
      </c>
      <c r="C92" s="4">
        <v>2460.0</v>
      </c>
      <c r="F92" s="4" t="s">
        <v>2046</v>
      </c>
      <c r="G92" s="70"/>
      <c r="K92" s="4">
        <v>50.0</v>
      </c>
      <c r="L92" s="4">
        <v>2390.0</v>
      </c>
      <c r="M92" s="6">
        <v>3140.0</v>
      </c>
    </row>
    <row r="93">
      <c r="B93" s="3" t="s">
        <v>2047</v>
      </c>
      <c r="C93" s="4">
        <v>2320.0</v>
      </c>
      <c r="F93" s="4" t="s">
        <v>2048</v>
      </c>
      <c r="G93" s="70"/>
      <c r="K93" s="4">
        <v>51.0</v>
      </c>
      <c r="L93" s="4">
        <v>3040.0</v>
      </c>
      <c r="M93" s="6">
        <v>3200.0</v>
      </c>
    </row>
    <row r="94">
      <c r="B94" s="3" t="s">
        <v>2049</v>
      </c>
      <c r="C94" s="4">
        <v>3350.0</v>
      </c>
      <c r="F94" s="4" t="s">
        <v>2050</v>
      </c>
      <c r="G94" s="6">
        <v>3800.0</v>
      </c>
      <c r="K94" s="4">
        <v>52.0</v>
      </c>
      <c r="M94" s="70"/>
    </row>
    <row r="95">
      <c r="B95" s="3" t="s">
        <v>2051</v>
      </c>
      <c r="F95" s="4" t="s">
        <v>2052</v>
      </c>
      <c r="G95" s="6">
        <v>3680.0</v>
      </c>
      <c r="K95" s="4">
        <v>53.0</v>
      </c>
      <c r="M95" s="70"/>
    </row>
    <row r="96">
      <c r="B96" s="3" t="s">
        <v>2053</v>
      </c>
      <c r="F96" s="4" t="s">
        <v>2054</v>
      </c>
      <c r="G96" s="6">
        <v>3420.0</v>
      </c>
      <c r="K96" s="4">
        <v>54.0</v>
      </c>
      <c r="L96" s="4">
        <v>3130.0</v>
      </c>
      <c r="M96" s="70"/>
    </row>
    <row r="97">
      <c r="B97" s="3" t="s">
        <v>2055</v>
      </c>
      <c r="F97" s="4" t="s">
        <v>2056</v>
      </c>
      <c r="G97" s="6">
        <v>3610.0</v>
      </c>
      <c r="K97" s="4">
        <v>55.0</v>
      </c>
      <c r="L97" s="4">
        <v>3770.0</v>
      </c>
      <c r="M97" s="6">
        <v>3430.0</v>
      </c>
    </row>
    <row r="98">
      <c r="B98" s="3" t="s">
        <v>2057</v>
      </c>
      <c r="C98" s="4">
        <v>2470.0</v>
      </c>
      <c r="F98" s="4" t="s">
        <v>2058</v>
      </c>
      <c r="G98" s="6">
        <v>4000.0</v>
      </c>
      <c r="J98" s="4">
        <v>8.0</v>
      </c>
      <c r="K98" s="4">
        <v>56.0</v>
      </c>
      <c r="M98" s="6">
        <v>3330.0</v>
      </c>
    </row>
    <row r="99">
      <c r="B99" s="3" t="s">
        <v>2059</v>
      </c>
      <c r="F99" s="4" t="s">
        <v>2060</v>
      </c>
      <c r="G99" s="70"/>
      <c r="K99" s="4">
        <v>57.0</v>
      </c>
      <c r="L99" s="4">
        <v>3360.0</v>
      </c>
      <c r="M99" s="6">
        <v>3430.0</v>
      </c>
    </row>
    <row r="100">
      <c r="B100" s="3" t="s">
        <v>2061</v>
      </c>
      <c r="C100" s="4">
        <v>684.0</v>
      </c>
      <c r="F100" s="4" t="s">
        <v>2062</v>
      </c>
      <c r="G100" s="70"/>
      <c r="K100" s="4">
        <v>58.0</v>
      </c>
      <c r="L100" s="4">
        <v>3100.0</v>
      </c>
      <c r="M100" s="6">
        <v>3610.0</v>
      </c>
    </row>
    <row r="101">
      <c r="B101" s="3" t="s">
        <v>2063</v>
      </c>
      <c r="C101" s="4">
        <v>1840.0</v>
      </c>
      <c r="F101" s="4" t="s">
        <v>2064</v>
      </c>
      <c r="K101" s="4">
        <v>59.0</v>
      </c>
      <c r="M101" s="6">
        <v>3360.0</v>
      </c>
    </row>
    <row r="102">
      <c r="B102" s="3" t="s">
        <v>2065</v>
      </c>
      <c r="C102" s="4">
        <v>2530.0</v>
      </c>
      <c r="F102" s="4" t="s">
        <v>2066</v>
      </c>
      <c r="G102" s="4">
        <v>3520.0</v>
      </c>
      <c r="K102" s="4">
        <v>60.0</v>
      </c>
    </row>
    <row r="103">
      <c r="B103" s="3" t="s">
        <v>2067</v>
      </c>
      <c r="F103" s="4" t="s">
        <v>2068</v>
      </c>
      <c r="G103" s="6">
        <v>3140.0</v>
      </c>
      <c r="K103" s="4">
        <v>61.0</v>
      </c>
      <c r="L103" s="4">
        <v>3300.0</v>
      </c>
    </row>
    <row r="104">
      <c r="B104" s="3" t="s">
        <v>2069</v>
      </c>
      <c r="F104" s="4" t="s">
        <v>2070</v>
      </c>
      <c r="G104" s="6">
        <v>3200.0</v>
      </c>
      <c r="K104" s="4">
        <v>62.0</v>
      </c>
      <c r="M104" s="6">
        <v>3360.0</v>
      </c>
    </row>
    <row r="105">
      <c r="B105" s="3" t="s">
        <v>2071</v>
      </c>
      <c r="C105" s="4">
        <v>3390.0</v>
      </c>
      <c r="F105" s="4" t="s">
        <v>2072</v>
      </c>
      <c r="G105" s="70"/>
      <c r="J105" s="4">
        <v>9.0</v>
      </c>
      <c r="K105" s="4">
        <v>63.0</v>
      </c>
      <c r="L105" s="4">
        <v>2950.0</v>
      </c>
      <c r="M105" s="70"/>
    </row>
    <row r="106">
      <c r="B106" s="3" t="s">
        <v>2073</v>
      </c>
      <c r="C106" s="4">
        <v>3320.0</v>
      </c>
      <c r="F106" s="4" t="s">
        <v>2074</v>
      </c>
      <c r="G106" s="70"/>
      <c r="K106" s="4">
        <v>64.0</v>
      </c>
      <c r="L106" s="4">
        <v>2330.0</v>
      </c>
      <c r="M106" s="70"/>
    </row>
    <row r="107">
      <c r="B107" s="3" t="s">
        <v>2075</v>
      </c>
      <c r="C107" s="4">
        <v>2400.0</v>
      </c>
      <c r="F107" s="4" t="s">
        <v>2076</v>
      </c>
      <c r="G107" s="70"/>
      <c r="K107" s="4">
        <v>65.0</v>
      </c>
      <c r="L107" s="4">
        <v>2480.0</v>
      </c>
      <c r="M107" s="6">
        <v>3420.0</v>
      </c>
    </row>
    <row r="108">
      <c r="B108" s="3" t="s">
        <v>2077</v>
      </c>
      <c r="F108" s="4" t="s">
        <v>2078</v>
      </c>
      <c r="G108" s="6">
        <v>3430.0</v>
      </c>
      <c r="K108" s="4">
        <v>66.0</v>
      </c>
      <c r="M108" s="6">
        <v>3670.0</v>
      </c>
    </row>
    <row r="109">
      <c r="B109" s="11"/>
      <c r="F109" s="4" t="s">
        <v>2079</v>
      </c>
      <c r="G109" s="6">
        <v>3330.0</v>
      </c>
      <c r="K109" s="4">
        <v>67.0</v>
      </c>
      <c r="M109" s="70"/>
    </row>
    <row r="110">
      <c r="B110" s="11"/>
      <c r="F110" s="4" t="s">
        <v>2080</v>
      </c>
      <c r="G110" s="6">
        <v>3430.0</v>
      </c>
      <c r="K110" s="4">
        <v>68.0</v>
      </c>
      <c r="L110" s="4">
        <v>2590.0</v>
      </c>
      <c r="M110" s="70"/>
    </row>
    <row r="111">
      <c r="B111" s="11"/>
      <c r="F111" s="4" t="s">
        <v>2081</v>
      </c>
      <c r="G111" s="6">
        <v>3610.0</v>
      </c>
      <c r="K111" s="4">
        <v>69.0</v>
      </c>
      <c r="L111" s="4">
        <v>2460.0</v>
      </c>
      <c r="M111" s="6">
        <v>3520.0</v>
      </c>
    </row>
    <row r="112">
      <c r="B112" s="11"/>
      <c r="F112" s="4" t="s">
        <v>2082</v>
      </c>
      <c r="G112" s="6">
        <v>3360.0</v>
      </c>
      <c r="J112" s="4">
        <v>10.0</v>
      </c>
      <c r="K112" s="4">
        <v>70.0</v>
      </c>
      <c r="L112" s="4">
        <v>2320.0</v>
      </c>
      <c r="M112" s="70"/>
    </row>
    <row r="113">
      <c r="B113" s="11"/>
      <c r="F113" s="4" t="s">
        <v>2083</v>
      </c>
      <c r="G113" s="70"/>
      <c r="K113" s="4">
        <v>71.0</v>
      </c>
      <c r="L113" s="4">
        <v>3350.0</v>
      </c>
    </row>
    <row r="114">
      <c r="B114" s="11"/>
      <c r="F114" s="4" t="s">
        <v>2084</v>
      </c>
      <c r="G114" s="70"/>
      <c r="K114" s="4">
        <v>72.0</v>
      </c>
      <c r="M114" s="4">
        <v>3460.0</v>
      </c>
    </row>
    <row r="115">
      <c r="B115" s="11"/>
      <c r="F115" s="67">
        <v>45649.0</v>
      </c>
      <c r="G115" s="6">
        <v>3360.0</v>
      </c>
      <c r="K115" s="4">
        <v>73.0</v>
      </c>
      <c r="M115" s="6">
        <v>2720.0</v>
      </c>
    </row>
    <row r="116">
      <c r="B116" s="11"/>
      <c r="F116" s="67">
        <v>45650.0</v>
      </c>
      <c r="G116" s="70"/>
      <c r="K116" s="4">
        <v>74.0</v>
      </c>
    </row>
    <row r="117">
      <c r="B117" s="11"/>
      <c r="F117" s="67">
        <v>45651.0</v>
      </c>
      <c r="G117" s="70"/>
      <c r="K117" s="4">
        <v>75.0</v>
      </c>
      <c r="L117" s="4">
        <v>2470.0</v>
      </c>
    </row>
    <row r="118">
      <c r="B118" s="11"/>
      <c r="F118" s="67">
        <v>45652.0</v>
      </c>
      <c r="G118" s="6">
        <v>3420.0</v>
      </c>
      <c r="K118" s="4">
        <v>76.0</v>
      </c>
      <c r="M118" s="4">
        <v>2500.0</v>
      </c>
    </row>
    <row r="119">
      <c r="B119" s="11"/>
      <c r="F119" s="67">
        <v>45653.0</v>
      </c>
      <c r="G119" s="6">
        <v>3670.0</v>
      </c>
      <c r="J119" s="4">
        <v>11.0</v>
      </c>
      <c r="K119" s="4">
        <v>77.0</v>
      </c>
      <c r="L119" s="4">
        <v>684.0</v>
      </c>
      <c r="M119" s="4">
        <v>2390.0</v>
      </c>
    </row>
    <row r="120">
      <c r="B120" s="11"/>
      <c r="F120" s="67">
        <v>45654.0</v>
      </c>
      <c r="G120" s="70"/>
      <c r="K120" s="4">
        <v>78.0</v>
      </c>
      <c r="L120" s="4">
        <v>1840.0</v>
      </c>
    </row>
    <row r="121">
      <c r="B121" s="11"/>
      <c r="F121" s="67">
        <v>45655.0</v>
      </c>
      <c r="G121" s="70"/>
      <c r="K121" s="4">
        <v>79.0</v>
      </c>
      <c r="L121" s="4">
        <v>2530.0</v>
      </c>
    </row>
    <row r="122">
      <c r="B122" s="11"/>
      <c r="F122" s="67">
        <v>45656.0</v>
      </c>
      <c r="G122" s="6">
        <v>3520.0</v>
      </c>
      <c r="K122" s="4">
        <v>80.0</v>
      </c>
      <c r="M122" s="4">
        <v>2360.0</v>
      </c>
    </row>
    <row r="123">
      <c r="B123" s="11"/>
      <c r="F123" s="67">
        <v>45657.0</v>
      </c>
      <c r="G123" s="70"/>
      <c r="K123" s="4">
        <v>81.0</v>
      </c>
    </row>
    <row r="124">
      <c r="B124" s="11"/>
      <c r="F124" s="67">
        <v>45658.0</v>
      </c>
      <c r="K124" s="4">
        <v>82.0</v>
      </c>
      <c r="L124" s="4">
        <v>3390.0</v>
      </c>
    </row>
    <row r="125">
      <c r="B125" s="11"/>
      <c r="F125" s="67">
        <v>45659.0</v>
      </c>
      <c r="G125" s="4">
        <v>3460.0</v>
      </c>
      <c r="K125" s="4">
        <v>83.0</v>
      </c>
      <c r="L125" s="4">
        <v>3320.0</v>
      </c>
      <c r="M125" s="4">
        <v>3660.0</v>
      </c>
    </row>
    <row r="126">
      <c r="B126" s="11"/>
      <c r="F126" s="67">
        <v>45660.0</v>
      </c>
      <c r="G126" s="6">
        <v>2720.0</v>
      </c>
      <c r="J126" s="4">
        <v>12.0</v>
      </c>
      <c r="K126" s="4">
        <v>84.0</v>
      </c>
      <c r="L126" s="4">
        <v>2400.0</v>
      </c>
    </row>
    <row r="127">
      <c r="B127" s="11"/>
      <c r="F127" s="67">
        <v>45661.0</v>
      </c>
    </row>
    <row r="128">
      <c r="B128" s="11"/>
      <c r="F128" s="67">
        <v>45662.0</v>
      </c>
    </row>
    <row r="129">
      <c r="B129" s="11"/>
      <c r="F129" s="67">
        <v>45663.0</v>
      </c>
      <c r="G129" s="4">
        <v>2500.0</v>
      </c>
    </row>
    <row r="130">
      <c r="B130" s="11"/>
      <c r="F130" s="67">
        <v>45664.0</v>
      </c>
      <c r="G130" s="4">
        <v>2390.0</v>
      </c>
    </row>
    <row r="131">
      <c r="B131" s="11"/>
      <c r="F131" s="67">
        <v>45665.0</v>
      </c>
    </row>
    <row r="132">
      <c r="B132" s="11"/>
      <c r="F132" s="67">
        <v>45666.0</v>
      </c>
    </row>
    <row r="133">
      <c r="B133" s="11"/>
      <c r="F133" s="67">
        <v>45667.0</v>
      </c>
      <c r="G133" s="4">
        <v>2360.0</v>
      </c>
    </row>
    <row r="134">
      <c r="B134" s="11"/>
      <c r="F134" s="67">
        <v>45668.0</v>
      </c>
    </row>
    <row r="135">
      <c r="B135" s="11"/>
      <c r="F135" s="67">
        <v>45669.0</v>
      </c>
    </row>
    <row r="136">
      <c r="B136" s="11"/>
      <c r="F136" s="67">
        <v>45670.0</v>
      </c>
      <c r="G136" s="4">
        <v>3660.0</v>
      </c>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row r="1000">
      <c r="B1000" s="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s>
  <sheetData>
    <row r="1">
      <c r="C1" s="4" t="s">
        <v>1760</v>
      </c>
      <c r="D1" s="4" t="s">
        <v>13</v>
      </c>
      <c r="E1" s="4" t="s">
        <v>246</v>
      </c>
      <c r="F1" s="4" t="s">
        <v>1209</v>
      </c>
      <c r="I1" s="4" t="s">
        <v>1762</v>
      </c>
      <c r="J1" s="4" t="s">
        <v>13</v>
      </c>
      <c r="K1" s="4" t="s">
        <v>246</v>
      </c>
    </row>
    <row r="2">
      <c r="A2" s="4" t="s">
        <v>2085</v>
      </c>
      <c r="B2" s="4" t="s">
        <v>14</v>
      </c>
      <c r="E2" s="86">
        <v>2500.0</v>
      </c>
      <c r="F2" s="87">
        <v>3100.0</v>
      </c>
      <c r="H2" s="4" t="s">
        <v>14</v>
      </c>
      <c r="J2" s="87">
        <v>3600.0</v>
      </c>
      <c r="K2" s="86">
        <v>3300.0</v>
      </c>
      <c r="N2" s="88"/>
      <c r="O2" s="4">
        <v>90.0</v>
      </c>
    </row>
    <row r="3">
      <c r="B3" s="4" t="s">
        <v>23</v>
      </c>
      <c r="F3" s="87">
        <v>3000.0</v>
      </c>
      <c r="H3" s="4" t="s">
        <v>23</v>
      </c>
      <c r="J3" s="87">
        <v>3600.0</v>
      </c>
      <c r="K3" s="86">
        <v>2600.0</v>
      </c>
      <c r="N3" s="89"/>
      <c r="O3" s="4">
        <v>80.0</v>
      </c>
    </row>
    <row r="4">
      <c r="B4" s="4" t="s">
        <v>28</v>
      </c>
      <c r="E4" s="86">
        <v>2000.0</v>
      </c>
      <c r="F4" s="90">
        <v>2800.0</v>
      </c>
      <c r="H4" s="4" t="s">
        <v>28</v>
      </c>
      <c r="J4" s="87">
        <v>2600.0</v>
      </c>
      <c r="K4" s="91">
        <v>2800.0</v>
      </c>
      <c r="N4" s="92"/>
      <c r="O4" s="4">
        <v>75.0</v>
      </c>
    </row>
    <row r="5">
      <c r="B5" s="4" t="s">
        <v>33</v>
      </c>
      <c r="D5" s="87">
        <v>2900.0</v>
      </c>
      <c r="E5" s="86">
        <v>2000.0</v>
      </c>
      <c r="F5" s="90">
        <v>2600.0</v>
      </c>
      <c r="H5" s="4" t="s">
        <v>33</v>
      </c>
      <c r="J5" s="86">
        <v>2500.0</v>
      </c>
      <c r="K5" s="91">
        <v>2500.0</v>
      </c>
      <c r="N5" s="93"/>
      <c r="O5" s="4">
        <v>70.0</v>
      </c>
    </row>
    <row r="6">
      <c r="B6" s="4" t="s">
        <v>41</v>
      </c>
      <c r="E6" s="86">
        <v>1900.0</v>
      </c>
      <c r="F6" s="90">
        <v>2500.0</v>
      </c>
      <c r="H6" s="4" t="s">
        <v>41</v>
      </c>
      <c r="J6" s="86">
        <v>2500.0</v>
      </c>
      <c r="K6" s="86">
        <v>2300.0</v>
      </c>
      <c r="N6" s="94"/>
      <c r="O6" s="4">
        <v>65.0</v>
      </c>
    </row>
    <row r="7">
      <c r="B7" s="4" t="s">
        <v>46</v>
      </c>
      <c r="D7" s="87">
        <v>1500.0</v>
      </c>
      <c r="E7" s="86">
        <v>1900.0</v>
      </c>
      <c r="F7" s="90">
        <v>2500.0</v>
      </c>
      <c r="H7" s="4" t="s">
        <v>46</v>
      </c>
      <c r="J7" s="86">
        <v>2500.0</v>
      </c>
      <c r="K7" s="86">
        <v>2400.0</v>
      </c>
      <c r="N7" s="95"/>
      <c r="O7" s="4">
        <v>60.0</v>
      </c>
    </row>
    <row r="8">
      <c r="B8" s="4" t="s">
        <v>51</v>
      </c>
      <c r="D8" s="87">
        <v>1800.0</v>
      </c>
      <c r="E8" s="86">
        <v>1700.0</v>
      </c>
      <c r="F8" s="90">
        <v>2600.0</v>
      </c>
      <c r="H8" s="4" t="s">
        <v>51</v>
      </c>
      <c r="J8" s="86">
        <v>2600.0</v>
      </c>
      <c r="K8" s="90">
        <v>2600.0</v>
      </c>
    </row>
    <row r="9">
      <c r="B9" s="4" t="s">
        <v>58</v>
      </c>
      <c r="D9" s="87">
        <v>2100.0</v>
      </c>
      <c r="E9" s="86">
        <v>3200.0</v>
      </c>
      <c r="F9" s="86">
        <v>2600.0</v>
      </c>
      <c r="H9" s="4" t="s">
        <v>58</v>
      </c>
      <c r="J9" s="86">
        <v>2600.0</v>
      </c>
      <c r="K9" s="86">
        <v>1800.0</v>
      </c>
      <c r="N9" s="96"/>
      <c r="O9" s="4">
        <v>55.0</v>
      </c>
    </row>
    <row r="10">
      <c r="B10" s="4" t="s">
        <v>63</v>
      </c>
      <c r="D10" s="87">
        <v>3000.0</v>
      </c>
      <c r="E10" s="86">
        <v>2000.0</v>
      </c>
      <c r="F10" s="86">
        <v>2200.0</v>
      </c>
      <c r="H10" s="4" t="s">
        <v>63</v>
      </c>
      <c r="J10" s="86">
        <v>2400.0</v>
      </c>
      <c r="K10" s="86">
        <v>2100.0</v>
      </c>
      <c r="N10" s="97"/>
      <c r="O10" s="4">
        <v>50.0</v>
      </c>
    </row>
    <row r="11">
      <c r="B11" s="4" t="s">
        <v>66</v>
      </c>
      <c r="D11" s="87">
        <v>3200.0</v>
      </c>
      <c r="E11" s="86">
        <v>2000.0</v>
      </c>
      <c r="F11" s="86">
        <v>2500.0</v>
      </c>
      <c r="H11" s="4" t="s">
        <v>66</v>
      </c>
      <c r="J11" s="86">
        <v>2300.0</v>
      </c>
      <c r="K11" s="86">
        <v>2200.0</v>
      </c>
      <c r="N11" s="98"/>
      <c r="O11" s="4">
        <v>45.0</v>
      </c>
    </row>
    <row r="12">
      <c r="B12" s="4" t="s">
        <v>70</v>
      </c>
      <c r="D12" s="87">
        <v>2400.0</v>
      </c>
      <c r="E12" s="86">
        <v>2500.0</v>
      </c>
      <c r="F12" s="86">
        <v>2400.0</v>
      </c>
      <c r="H12" s="4" t="s">
        <v>70</v>
      </c>
      <c r="J12" s="86">
        <v>2300.0</v>
      </c>
      <c r="K12" s="86">
        <v>2200.0</v>
      </c>
      <c r="N12" s="99"/>
      <c r="O12" s="4">
        <v>42.0</v>
      </c>
    </row>
    <row r="13">
      <c r="B13" s="4" t="s">
        <v>73</v>
      </c>
      <c r="D13" s="87">
        <v>2200.0</v>
      </c>
      <c r="E13" s="86">
        <v>2500.0</v>
      </c>
      <c r="F13" s="86">
        <v>2700.0</v>
      </c>
      <c r="H13" s="4" t="s">
        <v>73</v>
      </c>
      <c r="J13" s="90">
        <v>2200.0</v>
      </c>
      <c r="K13" s="86">
        <v>2000.0</v>
      </c>
    </row>
    <row r="14">
      <c r="B14" s="4" t="s">
        <v>77</v>
      </c>
      <c r="D14" s="87">
        <v>1700.0</v>
      </c>
      <c r="E14" s="97"/>
      <c r="F14" s="86">
        <v>2000.0</v>
      </c>
      <c r="H14" s="4" t="s">
        <v>77</v>
      </c>
      <c r="J14" s="86">
        <v>2300.0</v>
      </c>
      <c r="K14" s="100">
        <v>1900.0</v>
      </c>
    </row>
    <row r="15">
      <c r="B15" s="4" t="s">
        <v>82</v>
      </c>
      <c r="D15" s="87">
        <v>1500.0</v>
      </c>
      <c r="E15" s="86">
        <v>1800.0</v>
      </c>
      <c r="F15" s="86">
        <v>2300.0</v>
      </c>
      <c r="H15" s="4" t="s">
        <v>82</v>
      </c>
      <c r="J15" s="97"/>
      <c r="K15" s="100">
        <v>1600.0</v>
      </c>
    </row>
    <row r="16">
      <c r="B16" s="4" t="s">
        <v>85</v>
      </c>
      <c r="D16" s="87">
        <v>2700.0</v>
      </c>
      <c r="E16" s="86">
        <v>2000.0</v>
      </c>
      <c r="F16" s="86">
        <v>2200.0</v>
      </c>
      <c r="H16" s="4" t="s">
        <v>85</v>
      </c>
      <c r="J16" s="86">
        <v>2300.0</v>
      </c>
      <c r="K16" s="100">
        <v>1900.0</v>
      </c>
    </row>
    <row r="17">
      <c r="B17" s="4" t="s">
        <v>90</v>
      </c>
      <c r="D17" s="87">
        <v>2300.0</v>
      </c>
      <c r="E17" s="86">
        <v>2000.0</v>
      </c>
      <c r="F17" s="86">
        <v>2000.0</v>
      </c>
      <c r="H17" s="4" t="s">
        <v>90</v>
      </c>
      <c r="J17" s="86">
        <v>2300.0</v>
      </c>
      <c r="K17" s="100">
        <v>2100.0</v>
      </c>
    </row>
    <row r="18">
      <c r="B18" s="4" t="s">
        <v>93</v>
      </c>
      <c r="D18" s="88"/>
      <c r="E18" s="86">
        <v>2600.0</v>
      </c>
      <c r="F18" s="86">
        <v>2400.0</v>
      </c>
      <c r="H18" s="4" t="s">
        <v>93</v>
      </c>
      <c r="J18" s="91">
        <v>2200.0</v>
      </c>
      <c r="K18" s="100">
        <v>1950.0</v>
      </c>
    </row>
    <row r="19">
      <c r="B19" s="4" t="s">
        <v>98</v>
      </c>
      <c r="D19" s="88"/>
      <c r="E19" s="86">
        <v>1800.0</v>
      </c>
      <c r="F19" s="86">
        <v>1700.0</v>
      </c>
      <c r="H19" s="4" t="s">
        <v>98</v>
      </c>
      <c r="J19" s="91">
        <v>2150.0</v>
      </c>
      <c r="K19" s="100">
        <v>2050.0</v>
      </c>
    </row>
    <row r="20">
      <c r="B20" s="4" t="s">
        <v>103</v>
      </c>
      <c r="D20" s="88"/>
      <c r="E20" s="86">
        <v>2000.0</v>
      </c>
      <c r="F20" s="86">
        <v>2000.0</v>
      </c>
      <c r="H20" s="4" t="s">
        <v>103</v>
      </c>
      <c r="J20" s="91">
        <v>2500.0</v>
      </c>
      <c r="K20" s="100">
        <v>1800.0</v>
      </c>
    </row>
    <row r="21">
      <c r="B21" s="4" t="s">
        <v>106</v>
      </c>
      <c r="D21" s="87">
        <v>3000.0</v>
      </c>
      <c r="E21" s="87">
        <v>1800.0</v>
      </c>
      <c r="F21" s="86">
        <v>1900.0</v>
      </c>
      <c r="H21" s="4" t="s">
        <v>106</v>
      </c>
      <c r="J21" s="91">
        <v>2200.0</v>
      </c>
      <c r="K21" s="101">
        <v>1700.0</v>
      </c>
    </row>
    <row r="22">
      <c r="B22" s="4" t="s">
        <v>110</v>
      </c>
      <c r="D22" s="87">
        <v>2200.0</v>
      </c>
      <c r="E22" s="87">
        <v>2200.0</v>
      </c>
      <c r="F22" s="86">
        <v>1900.0</v>
      </c>
      <c r="H22" s="4" t="s">
        <v>110</v>
      </c>
      <c r="J22" s="91">
        <v>2000.0</v>
      </c>
      <c r="K22" s="101">
        <v>2000.0</v>
      </c>
    </row>
    <row r="23">
      <c r="B23" s="4" t="s">
        <v>113</v>
      </c>
      <c r="D23" s="87">
        <v>1500.0</v>
      </c>
      <c r="E23" s="87">
        <v>2300.0</v>
      </c>
      <c r="F23" s="90">
        <v>2100.0</v>
      </c>
      <c r="H23" s="4" t="s">
        <v>113</v>
      </c>
      <c r="J23" s="91">
        <v>2200.0</v>
      </c>
      <c r="K23" s="101">
        <v>2000.0</v>
      </c>
    </row>
    <row r="24">
      <c r="B24" s="4" t="s">
        <v>117</v>
      </c>
      <c r="D24" s="88"/>
      <c r="E24" s="87">
        <v>2000.0</v>
      </c>
      <c r="F24" s="90">
        <v>2000.0</v>
      </c>
      <c r="H24" s="4" t="s">
        <v>117</v>
      </c>
      <c r="J24" s="91">
        <v>2500.0</v>
      </c>
      <c r="K24" s="101">
        <v>1800.0</v>
      </c>
    </row>
    <row r="25">
      <c r="B25" s="4" t="s">
        <v>120</v>
      </c>
      <c r="D25" s="88"/>
      <c r="E25" s="87">
        <v>1900.0</v>
      </c>
      <c r="F25" s="90">
        <v>2200.0</v>
      </c>
      <c r="H25" s="4" t="s">
        <v>120</v>
      </c>
      <c r="J25" s="86">
        <v>2550.0</v>
      </c>
      <c r="K25" s="101">
        <v>1850.0</v>
      </c>
    </row>
    <row r="26">
      <c r="B26" s="4" t="s">
        <v>125</v>
      </c>
      <c r="D26" s="88"/>
      <c r="E26" s="87">
        <v>2200.0</v>
      </c>
      <c r="F26" s="86">
        <v>2000.0</v>
      </c>
      <c r="H26" s="4" t="s">
        <v>125</v>
      </c>
      <c r="J26" s="91">
        <v>2450.0</v>
      </c>
      <c r="K26" s="101">
        <v>2000.0</v>
      </c>
    </row>
    <row r="27">
      <c r="B27" s="4" t="s">
        <v>129</v>
      </c>
      <c r="D27" s="87">
        <v>2000.0</v>
      </c>
      <c r="E27" s="87">
        <v>2400.0</v>
      </c>
      <c r="F27" s="90">
        <v>2200.0</v>
      </c>
      <c r="H27" s="4" t="s">
        <v>129</v>
      </c>
      <c r="J27" s="90">
        <v>2500.0</v>
      </c>
    </row>
    <row r="28">
      <c r="B28" s="4" t="s">
        <v>133</v>
      </c>
      <c r="D28" s="88"/>
      <c r="E28" s="87">
        <v>2300.0</v>
      </c>
      <c r="F28" s="90">
        <v>2200.0</v>
      </c>
      <c r="H28" s="4" t="s">
        <v>133</v>
      </c>
      <c r="J28" s="90">
        <v>2900.0</v>
      </c>
    </row>
    <row r="29">
      <c r="B29" s="4" t="s">
        <v>137</v>
      </c>
      <c r="D29" s="87">
        <v>2100.0</v>
      </c>
      <c r="E29" s="102">
        <v>2100.0</v>
      </c>
      <c r="F29" s="90">
        <v>2000.0</v>
      </c>
      <c r="H29" s="4" t="s">
        <v>137</v>
      </c>
      <c r="J29" s="90">
        <v>2900.0</v>
      </c>
    </row>
    <row r="30">
      <c r="B30" s="4" t="s">
        <v>140</v>
      </c>
      <c r="D30" s="87">
        <v>2000.0</v>
      </c>
      <c r="E30" s="102">
        <v>2000.0</v>
      </c>
      <c r="F30" s="91">
        <v>2200.0</v>
      </c>
      <c r="H30" s="4" t="s">
        <v>140</v>
      </c>
      <c r="J30" s="90">
        <v>2050.0</v>
      </c>
    </row>
    <row r="31">
      <c r="B31" s="4" t="s">
        <v>146</v>
      </c>
      <c r="D31" s="88"/>
      <c r="E31" s="102">
        <v>2000.0</v>
      </c>
      <c r="F31" s="91">
        <v>2200.0</v>
      </c>
      <c r="H31" s="4" t="s">
        <v>146</v>
      </c>
      <c r="J31" s="90">
        <v>2050.0</v>
      </c>
    </row>
    <row r="32">
      <c r="B32" s="4" t="s">
        <v>150</v>
      </c>
      <c r="D32" s="87">
        <v>1600.0</v>
      </c>
      <c r="E32" s="102">
        <v>2000.0</v>
      </c>
      <c r="F32" s="103">
        <v>2000.0</v>
      </c>
      <c r="H32" s="4" t="s">
        <v>150</v>
      </c>
      <c r="J32" s="90">
        <v>2300.0</v>
      </c>
    </row>
    <row r="33">
      <c r="B33" s="4" t="s">
        <v>154</v>
      </c>
      <c r="D33" s="87">
        <v>1700.0</v>
      </c>
      <c r="E33" s="89"/>
      <c r="F33" s="102">
        <v>2100.0</v>
      </c>
      <c r="H33" s="4" t="s">
        <v>154</v>
      </c>
      <c r="J33" s="90">
        <v>3600.0</v>
      </c>
    </row>
    <row r="34">
      <c r="B34" s="4" t="s">
        <v>159</v>
      </c>
      <c r="D34" s="87">
        <v>1800.0</v>
      </c>
      <c r="E34" s="102">
        <v>2000.0</v>
      </c>
      <c r="F34" s="103">
        <v>2000.0</v>
      </c>
      <c r="H34" s="4" t="s">
        <v>159</v>
      </c>
      <c r="J34" s="90">
        <v>2050.0</v>
      </c>
    </row>
    <row r="35">
      <c r="B35" s="4" t="s">
        <v>163</v>
      </c>
      <c r="D35" s="87">
        <v>2000.0</v>
      </c>
      <c r="E35" s="87">
        <v>2000.0</v>
      </c>
      <c r="F35" s="103">
        <v>1900.0</v>
      </c>
      <c r="H35" s="4" t="s">
        <v>163</v>
      </c>
      <c r="J35" s="87">
        <v>1850.0</v>
      </c>
    </row>
    <row r="36">
      <c r="B36" s="4" t="s">
        <v>169</v>
      </c>
      <c r="D36" s="87">
        <v>1500.0</v>
      </c>
      <c r="E36" s="87">
        <v>2000.0</v>
      </c>
      <c r="F36" s="86">
        <v>1900.0</v>
      </c>
      <c r="H36" s="4" t="s">
        <v>169</v>
      </c>
      <c r="J36" s="87">
        <v>2350.0</v>
      </c>
    </row>
    <row r="37">
      <c r="B37" s="4" t="s">
        <v>173</v>
      </c>
      <c r="D37" s="88"/>
      <c r="E37" s="87">
        <v>2000.0</v>
      </c>
      <c r="F37" s="86">
        <v>2200.0</v>
      </c>
      <c r="H37" s="4" t="s">
        <v>173</v>
      </c>
      <c r="J37" s="87">
        <v>2000.0</v>
      </c>
    </row>
    <row r="38">
      <c r="B38" s="4" t="s">
        <v>177</v>
      </c>
      <c r="D38" s="88"/>
      <c r="E38" s="87">
        <v>1900.0</v>
      </c>
      <c r="F38" s="86">
        <v>2200.0</v>
      </c>
      <c r="H38" s="4" t="s">
        <v>177</v>
      </c>
      <c r="J38" s="87">
        <v>1900.0</v>
      </c>
    </row>
    <row r="39">
      <c r="B39" s="4" t="s">
        <v>180</v>
      </c>
      <c r="D39" s="87">
        <v>3200.0</v>
      </c>
      <c r="E39" s="87">
        <v>2000.0</v>
      </c>
      <c r="F39" s="103">
        <v>1800.0</v>
      </c>
      <c r="H39" s="4" t="s">
        <v>180</v>
      </c>
      <c r="J39" s="87">
        <v>1750.0</v>
      </c>
    </row>
    <row r="40">
      <c r="B40" s="4" t="s">
        <v>183</v>
      </c>
      <c r="D40" s="88"/>
      <c r="E40" s="87">
        <v>1900.0</v>
      </c>
      <c r="F40" s="86">
        <v>1800.0</v>
      </c>
      <c r="H40" s="4" t="s">
        <v>183</v>
      </c>
      <c r="J40" s="90">
        <v>2200.0</v>
      </c>
    </row>
    <row r="41">
      <c r="B41" s="4" t="s">
        <v>185</v>
      </c>
      <c r="D41" s="88"/>
      <c r="E41" s="87">
        <v>2000.0</v>
      </c>
      <c r="F41" s="86">
        <v>1900.0</v>
      </c>
      <c r="H41" s="4" t="s">
        <v>185</v>
      </c>
      <c r="J41" s="90">
        <v>2400.0</v>
      </c>
    </row>
    <row r="42">
      <c r="B42" s="4" t="s">
        <v>187</v>
      </c>
      <c r="D42" s="90">
        <v>2000.0</v>
      </c>
      <c r="E42" s="87">
        <v>2200.0</v>
      </c>
      <c r="F42" s="86">
        <v>1900.0</v>
      </c>
      <c r="H42" s="4" t="s">
        <v>187</v>
      </c>
      <c r="J42" s="90">
        <v>2000.0</v>
      </c>
    </row>
    <row r="43">
      <c r="B43" s="4" t="s">
        <v>189</v>
      </c>
      <c r="D43" s="90">
        <v>2000.0</v>
      </c>
      <c r="E43" s="102">
        <v>2500.0</v>
      </c>
      <c r="H43" s="4" t="s">
        <v>189</v>
      </c>
      <c r="J43" s="90">
        <v>1900.0</v>
      </c>
    </row>
    <row r="44">
      <c r="B44" s="4" t="s">
        <v>193</v>
      </c>
      <c r="D44" s="86">
        <v>1700.0</v>
      </c>
      <c r="E44" s="103">
        <v>2200.0</v>
      </c>
      <c r="H44" s="4" t="s">
        <v>193</v>
      </c>
      <c r="J44" s="90">
        <v>1850.0</v>
      </c>
    </row>
    <row r="45">
      <c r="B45" s="4" t="s">
        <v>196</v>
      </c>
      <c r="D45" s="86">
        <v>2000.0</v>
      </c>
      <c r="E45" s="103">
        <v>2500.0</v>
      </c>
      <c r="H45" s="4" t="s">
        <v>196</v>
      </c>
      <c r="J45" s="90">
        <v>2000.0</v>
      </c>
    </row>
    <row r="46">
      <c r="B46" s="4" t="s">
        <v>199</v>
      </c>
      <c r="D46" s="86">
        <v>2000.0</v>
      </c>
      <c r="E46" s="103">
        <v>2500.0</v>
      </c>
      <c r="H46" s="4" t="s">
        <v>199</v>
      </c>
      <c r="J46" s="90">
        <v>2600.0</v>
      </c>
    </row>
    <row r="47">
      <c r="B47" s="4" t="s">
        <v>202</v>
      </c>
      <c r="D47" s="86">
        <v>2700.0</v>
      </c>
      <c r="E47" s="103">
        <v>2300.0</v>
      </c>
      <c r="H47" s="4" t="s">
        <v>202</v>
      </c>
      <c r="J47" s="90">
        <v>2300.0</v>
      </c>
    </row>
    <row r="48">
      <c r="B48" s="4" t="s">
        <v>204</v>
      </c>
      <c r="D48" s="86">
        <v>3000.0</v>
      </c>
      <c r="E48" s="103">
        <v>2300.0</v>
      </c>
      <c r="H48" s="4" t="s">
        <v>204</v>
      </c>
      <c r="J48" s="90">
        <v>1950.0</v>
      </c>
    </row>
    <row r="49">
      <c r="B49" s="4" t="s">
        <v>208</v>
      </c>
      <c r="D49" s="86">
        <v>3300.0</v>
      </c>
      <c r="E49" s="103">
        <v>2200.0</v>
      </c>
      <c r="H49" s="4" t="s">
        <v>208</v>
      </c>
      <c r="J49" s="90">
        <v>1900.0</v>
      </c>
    </row>
    <row r="50">
      <c r="B50" s="4" t="s">
        <v>210</v>
      </c>
      <c r="D50" s="86">
        <v>3000.0</v>
      </c>
      <c r="E50" s="103">
        <v>2200.0</v>
      </c>
      <c r="H50" s="4" t="s">
        <v>210</v>
      </c>
      <c r="J50" s="87">
        <v>1850.0</v>
      </c>
    </row>
    <row r="51">
      <c r="B51" s="4" t="s">
        <v>217</v>
      </c>
      <c r="D51" s="86">
        <v>2700.0</v>
      </c>
      <c r="E51" s="103">
        <v>2500.0</v>
      </c>
      <c r="H51" s="4" t="s">
        <v>217</v>
      </c>
      <c r="J51" s="87">
        <v>2200.0</v>
      </c>
    </row>
    <row r="52">
      <c r="B52" s="4" t="s">
        <v>222</v>
      </c>
      <c r="D52" s="86">
        <v>3000.0</v>
      </c>
      <c r="E52" s="103">
        <v>2200.0</v>
      </c>
      <c r="H52" s="4" t="s">
        <v>222</v>
      </c>
      <c r="J52" s="87">
        <v>2000.0</v>
      </c>
    </row>
    <row r="53">
      <c r="B53" s="4" t="s">
        <v>224</v>
      </c>
      <c r="D53" s="86">
        <v>2300.0</v>
      </c>
      <c r="E53" s="91">
        <v>1900.0</v>
      </c>
      <c r="H53" s="4" t="s">
        <v>224</v>
      </c>
      <c r="J53" s="87">
        <v>1900.0</v>
      </c>
    </row>
    <row r="54">
      <c r="B54" s="4" t="s">
        <v>226</v>
      </c>
      <c r="D54" s="86">
        <v>1900.0</v>
      </c>
      <c r="E54" s="104">
        <v>2200.0</v>
      </c>
      <c r="H54" s="4" t="s">
        <v>226</v>
      </c>
      <c r="J54" s="91">
        <v>2400.0</v>
      </c>
    </row>
    <row r="55">
      <c r="B55" s="4" t="s">
        <v>231</v>
      </c>
      <c r="D55" s="86">
        <v>1900.0</v>
      </c>
      <c r="E55" s="90">
        <v>2100.0</v>
      </c>
      <c r="H55" s="4" t="s">
        <v>231</v>
      </c>
      <c r="J55" s="91">
        <v>2500.0</v>
      </c>
    </row>
    <row r="56">
      <c r="B56" s="4" t="s">
        <v>235</v>
      </c>
      <c r="D56" s="91">
        <v>1600.0</v>
      </c>
      <c r="E56" s="90">
        <v>2000.0</v>
      </c>
      <c r="H56" s="4" t="s">
        <v>235</v>
      </c>
      <c r="J56" s="91">
        <v>2200.0</v>
      </c>
    </row>
    <row r="57">
      <c r="B57" s="4" t="s">
        <v>239</v>
      </c>
      <c r="D57" s="91">
        <v>1500.0</v>
      </c>
      <c r="E57" s="103">
        <v>2300.0</v>
      </c>
      <c r="H57" s="4" t="s">
        <v>239</v>
      </c>
      <c r="J57" s="91">
        <v>2300.0</v>
      </c>
    </row>
    <row r="58">
      <c r="B58" s="4" t="s">
        <v>243</v>
      </c>
      <c r="D58" s="91">
        <v>2000.0</v>
      </c>
      <c r="E58" s="103">
        <v>2600.0</v>
      </c>
      <c r="H58" s="4" t="s">
        <v>243</v>
      </c>
      <c r="J58" s="91">
        <v>2200.0</v>
      </c>
    </row>
    <row r="59">
      <c r="B59" s="4" t="s">
        <v>368</v>
      </c>
      <c r="D59" s="91">
        <v>1500.0</v>
      </c>
      <c r="E59" s="90">
        <v>1900.0</v>
      </c>
    </row>
    <row r="60">
      <c r="B60" s="4" t="s">
        <v>373</v>
      </c>
      <c r="D60" s="105">
        <v>1900.0</v>
      </c>
      <c r="E60" s="90">
        <v>1400.0</v>
      </c>
    </row>
    <row r="61">
      <c r="B61" s="4" t="s">
        <v>377</v>
      </c>
      <c r="D61" s="105">
        <v>1700.0</v>
      </c>
      <c r="E61" s="90">
        <v>2200.0</v>
      </c>
    </row>
    <row r="62">
      <c r="B62" s="4" t="s">
        <v>381</v>
      </c>
      <c r="D62" s="105">
        <v>1500.0</v>
      </c>
      <c r="E62" s="102">
        <v>2300.0</v>
      </c>
    </row>
    <row r="63">
      <c r="B63" s="4" t="s">
        <v>385</v>
      </c>
      <c r="D63" s="91">
        <v>2300.0</v>
      </c>
      <c r="E63" s="104">
        <v>2000.0</v>
      </c>
    </row>
    <row r="64">
      <c r="B64" s="4" t="s">
        <v>439</v>
      </c>
      <c r="D64" s="91">
        <v>1700.0</v>
      </c>
      <c r="E64" s="86">
        <v>2000.0</v>
      </c>
    </row>
    <row r="65">
      <c r="B65" s="4" t="s">
        <v>443</v>
      </c>
      <c r="D65" s="91">
        <v>1800.0</v>
      </c>
      <c r="E65" s="90">
        <v>1900.0</v>
      </c>
    </row>
    <row r="66">
      <c r="B66" s="4" t="s">
        <v>446</v>
      </c>
      <c r="D66" s="91">
        <v>1600.0</v>
      </c>
      <c r="E66" s="104">
        <v>1900.0</v>
      </c>
    </row>
    <row r="67">
      <c r="B67" s="4" t="s">
        <v>449</v>
      </c>
      <c r="D67" s="91">
        <v>1600.0</v>
      </c>
      <c r="E67" s="104">
        <v>2200.0</v>
      </c>
    </row>
    <row r="68">
      <c r="B68" s="4" t="s">
        <v>452</v>
      </c>
      <c r="D68" s="96"/>
      <c r="E68" s="86">
        <v>2000.0</v>
      </c>
    </row>
    <row r="69">
      <c r="B69" s="4" t="s">
        <v>455</v>
      </c>
      <c r="D69" s="91">
        <v>1600.0</v>
      </c>
      <c r="E69" s="86">
        <v>2000.0</v>
      </c>
    </row>
    <row r="70">
      <c r="B70" s="4" t="s">
        <v>459</v>
      </c>
      <c r="D70" s="90">
        <v>1600.0</v>
      </c>
      <c r="E70" s="86">
        <v>2100.0</v>
      </c>
    </row>
    <row r="71">
      <c r="B71" s="4" t="s">
        <v>462</v>
      </c>
      <c r="D71" s="90">
        <v>1600.0</v>
      </c>
      <c r="E71" s="90">
        <v>2100.0</v>
      </c>
    </row>
    <row r="72">
      <c r="B72" s="4" t="s">
        <v>465</v>
      </c>
      <c r="D72" s="91">
        <v>2000.0</v>
      </c>
      <c r="E72" s="102">
        <v>2100.0</v>
      </c>
    </row>
    <row r="73">
      <c r="B73" s="4" t="s">
        <v>468</v>
      </c>
      <c r="D73" s="105">
        <v>2000.0</v>
      </c>
      <c r="E73" s="102">
        <v>1700.0</v>
      </c>
    </row>
    <row r="74">
      <c r="B74" s="4" t="s">
        <v>471</v>
      </c>
      <c r="E74" s="86">
        <v>2000.0</v>
      </c>
    </row>
    <row r="75">
      <c r="B75" s="4" t="s">
        <v>474</v>
      </c>
      <c r="E75" s="86">
        <v>1800.0</v>
      </c>
    </row>
    <row r="76">
      <c r="B76" s="4" t="s">
        <v>476</v>
      </c>
      <c r="E76" s="86">
        <v>1300.0</v>
      </c>
    </row>
    <row r="77">
      <c r="B77" s="4" t="s">
        <v>480</v>
      </c>
      <c r="E77" s="86">
        <v>1400.0</v>
      </c>
    </row>
    <row r="78">
      <c r="B78" s="4" t="s">
        <v>483</v>
      </c>
      <c r="E78" s="86">
        <v>2000.0</v>
      </c>
    </row>
    <row r="79">
      <c r="B79" s="4" t="s">
        <v>486</v>
      </c>
      <c r="E79" s="86">
        <v>2000.0</v>
      </c>
    </row>
    <row r="80">
      <c r="B80" s="4" t="s">
        <v>489</v>
      </c>
      <c r="E80" s="86">
        <v>1800.0</v>
      </c>
    </row>
    <row r="81">
      <c r="B81" s="4" t="s">
        <v>492</v>
      </c>
      <c r="E81" s="86">
        <v>1700.0</v>
      </c>
    </row>
    <row r="82">
      <c r="B82" s="4" t="s">
        <v>495</v>
      </c>
      <c r="E82" s="103">
        <v>2300.0</v>
      </c>
    </row>
    <row r="83">
      <c r="B83" s="4" t="s">
        <v>498</v>
      </c>
      <c r="E83" s="103">
        <v>1900.0</v>
      </c>
    </row>
    <row r="98">
      <c r="D98" s="83">
        <f t="shared" ref="D98:F98" si="1">average(D2:D83)</f>
        <v>2089.090909</v>
      </c>
      <c r="E98" s="83">
        <f t="shared" si="1"/>
        <v>2077.21519</v>
      </c>
      <c r="F98" s="83">
        <f t="shared" si="1"/>
        <v>2212.195122</v>
      </c>
      <c r="J98" s="83">
        <f>average(J2:J83)</f>
        <v>2325</v>
      </c>
    </row>
    <row r="102">
      <c r="A102" s="88"/>
      <c r="B102" s="4">
        <v>90.0</v>
      </c>
      <c r="D102" s="83">
        <f>average(D5:D41)</f>
        <v>2162.5</v>
      </c>
      <c r="E102" s="83">
        <f>average(E21,E22,E23,E24,E25,E26,E27,E28,E35,E36,E37,E38,E39,E40,E41,E42)</f>
        <v>2068.75</v>
      </c>
      <c r="F102" s="83">
        <f>average(F2,F3)</f>
        <v>3050</v>
      </c>
      <c r="J102" s="83">
        <f>average(J2,J3,J4)</f>
        <v>3266.666667</v>
      </c>
    </row>
    <row r="103">
      <c r="A103" s="89"/>
      <c r="B103" s="4">
        <v>80.0</v>
      </c>
      <c r="E103" s="83">
        <f>average(E29,E30,E31,E32,E34,E43,E62,E72,E73)</f>
        <v>2077.777778</v>
      </c>
      <c r="F103" s="4">
        <v>2100.0</v>
      </c>
    </row>
    <row r="104">
      <c r="A104" s="92"/>
      <c r="B104" s="4">
        <v>75.0</v>
      </c>
      <c r="E104" s="83">
        <f>average(E83,E82,E58,E57,E52,E51,E50,E49,E48,E47,E46,E45,E44)</f>
        <v>2307.692308</v>
      </c>
      <c r="F104" s="83">
        <f>average(F39,F35,F34,F32)</f>
        <v>1925</v>
      </c>
    </row>
    <row r="105">
      <c r="A105" s="93"/>
      <c r="B105" s="4">
        <v>70.0</v>
      </c>
      <c r="D105" s="83">
        <f>average(D61,D60,D62,D73)</f>
        <v>1775</v>
      </c>
    </row>
    <row r="106">
      <c r="A106" s="94"/>
      <c r="B106" s="4">
        <v>65.0</v>
      </c>
      <c r="E106" s="83">
        <f>average(E67,E66,E63,E54)</f>
        <v>2075</v>
      </c>
    </row>
    <row r="107">
      <c r="A107" s="95"/>
      <c r="B107" s="4">
        <v>60.0</v>
      </c>
      <c r="D107" s="83">
        <f>average(D71,D70,D43,D42)</f>
        <v>1800</v>
      </c>
      <c r="E107" s="83">
        <f>average(E71,E65,E61,E60,E59,E55,E56)</f>
        <v>1942.857143</v>
      </c>
      <c r="F107" s="83">
        <f>average(F29,F28,F27,F25,F24,F23,F8,F7,F6,F5,F4)</f>
        <v>2336.363636</v>
      </c>
    </row>
    <row r="109">
      <c r="A109" s="96"/>
      <c r="B109" s="4">
        <v>55.0</v>
      </c>
      <c r="D109" s="83">
        <f>average(D72,D69,D67,D66,D65,D64,D63,D56,D57,D58,D59)</f>
        <v>1745.454545</v>
      </c>
      <c r="E109" s="4">
        <v>1900.0</v>
      </c>
      <c r="F109" s="4">
        <v>2200.0</v>
      </c>
    </row>
    <row r="110">
      <c r="A110" s="97"/>
      <c r="B110" s="4">
        <v>50.0</v>
      </c>
      <c r="D110" s="83">
        <f>average(D44:D55)</f>
        <v>2458.333333</v>
      </c>
      <c r="E110" s="83">
        <f>average(E81,E80,E79,E78,E77,E76,E75,E74,E70,E69,E68,E64,E20,E19,E18,E17,E16,E15,E13,E12,E11,E10,E9,E8,E7,E6,E5,E4,E2)</f>
        <v>2017.241379</v>
      </c>
      <c r="F110" s="83">
        <f>average(F9,F10,F11,F12,F13,F14,F15,F16,F17,F18,F19,F20,F21,F22,F26,F36,F37,F38,F40,F41,F42)</f>
        <v>2128.571429</v>
      </c>
    </row>
    <row r="111">
      <c r="J111" s="83">
        <f>average(J5,J6,J7,J8,J9,J10,J11,J12,J14,J16,J17)</f>
        <v>2418.181818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916</v>
      </c>
      <c r="B1" s="3" t="s">
        <v>246</v>
      </c>
      <c r="C1" s="4" t="s">
        <v>23</v>
      </c>
      <c r="D1" s="4" t="s">
        <v>917</v>
      </c>
      <c r="E1" s="4" t="s">
        <v>786</v>
      </c>
      <c r="F1" s="3" t="s">
        <v>786</v>
      </c>
      <c r="G1" s="3" t="s">
        <v>36</v>
      </c>
      <c r="H1" s="3"/>
      <c r="I1" s="3"/>
      <c r="J1" s="3"/>
      <c r="K1" s="4" t="s">
        <v>786</v>
      </c>
      <c r="L1" s="4"/>
    </row>
    <row r="2">
      <c r="A2" s="3" t="s">
        <v>739</v>
      </c>
      <c r="B2" s="3" t="s">
        <v>13</v>
      </c>
      <c r="C2" s="4" t="s">
        <v>58</v>
      </c>
      <c r="D2" s="106" t="s">
        <v>740</v>
      </c>
      <c r="E2" s="106" t="s">
        <v>312</v>
      </c>
      <c r="F2" s="107" t="s">
        <v>741</v>
      </c>
      <c r="G2" s="107" t="s">
        <v>725</v>
      </c>
      <c r="H2" s="108">
        <v>2100.0</v>
      </c>
      <c r="I2" s="3"/>
      <c r="J2" s="3"/>
      <c r="K2" s="4"/>
      <c r="L2" s="4"/>
    </row>
    <row r="3">
      <c r="A3" s="3" t="s">
        <v>819</v>
      </c>
      <c r="B3" s="3" t="s">
        <v>13</v>
      </c>
      <c r="C3" s="4" t="s">
        <v>137</v>
      </c>
      <c r="D3" s="106" t="s">
        <v>740</v>
      </c>
      <c r="E3" s="106" t="s">
        <v>312</v>
      </c>
      <c r="F3" s="107" t="s">
        <v>804</v>
      </c>
      <c r="G3" s="107" t="s">
        <v>810</v>
      </c>
      <c r="H3" s="108">
        <v>2100.0</v>
      </c>
      <c r="I3" s="3"/>
      <c r="J3" s="3"/>
      <c r="K3" s="2" t="s">
        <v>782</v>
      </c>
      <c r="L3" s="2"/>
      <c r="R3" s="4">
        <v>-1.0</v>
      </c>
      <c r="S3" s="4">
        <v>-0.9</v>
      </c>
      <c r="T3" s="4">
        <v>-0.8</v>
      </c>
      <c r="U3" s="4">
        <v>-0.6</v>
      </c>
      <c r="V3" s="4">
        <v>-0.575</v>
      </c>
      <c r="W3" s="4">
        <v>-0.5</v>
      </c>
      <c r="X3" s="4">
        <v>0.0</v>
      </c>
      <c r="Y3" s="4">
        <v>0.2</v>
      </c>
      <c r="Z3" s="4">
        <v>0.25</v>
      </c>
      <c r="AA3" s="4">
        <v>0.3</v>
      </c>
      <c r="AB3" s="4">
        <v>0.4</v>
      </c>
      <c r="AC3" s="4">
        <v>0.5</v>
      </c>
      <c r="AD3" s="4">
        <v>0.8</v>
      </c>
      <c r="AE3" s="4">
        <v>0.9</v>
      </c>
      <c r="AF3" s="4">
        <v>1.0</v>
      </c>
      <c r="AG3" s="4">
        <v>1.9</v>
      </c>
      <c r="AH3" s="4">
        <v>1.95</v>
      </c>
      <c r="AI3" s="4">
        <v>2.1</v>
      </c>
      <c r="AJ3" s="4">
        <v>2.15</v>
      </c>
      <c r="AK3" s="4">
        <v>2.3</v>
      </c>
      <c r="AL3" s="4">
        <v>2.45</v>
      </c>
      <c r="AM3" s="4">
        <v>2.6</v>
      </c>
      <c r="AN3" s="4">
        <v>2.875</v>
      </c>
      <c r="AO3" s="4">
        <v>2.9</v>
      </c>
      <c r="AP3" s="4">
        <v>3.2</v>
      </c>
      <c r="AQ3" s="4"/>
      <c r="AR3" s="4"/>
    </row>
    <row r="4">
      <c r="A4" s="3" t="s">
        <v>822</v>
      </c>
      <c r="B4" s="3" t="s">
        <v>13</v>
      </c>
      <c r="C4" s="4" t="s">
        <v>140</v>
      </c>
      <c r="D4" s="106" t="s">
        <v>740</v>
      </c>
      <c r="E4" s="106" t="s">
        <v>312</v>
      </c>
      <c r="F4" s="107" t="s">
        <v>724</v>
      </c>
      <c r="G4" s="107" t="s">
        <v>747</v>
      </c>
      <c r="H4" s="108">
        <v>2000.0</v>
      </c>
      <c r="I4" s="3"/>
      <c r="J4" s="3"/>
      <c r="K4" s="2" t="s">
        <v>793</v>
      </c>
      <c r="L4" s="2"/>
    </row>
    <row r="5">
      <c r="A5" s="3" t="s">
        <v>2086</v>
      </c>
      <c r="B5" s="3" t="s">
        <v>13</v>
      </c>
      <c r="C5" s="4" t="s">
        <v>146</v>
      </c>
      <c r="D5" s="106" t="s">
        <v>740</v>
      </c>
      <c r="E5" s="106" t="s">
        <v>312</v>
      </c>
      <c r="F5" s="107" t="s">
        <v>825</v>
      </c>
      <c r="G5" s="107" t="s">
        <v>753</v>
      </c>
      <c r="H5" s="109"/>
      <c r="I5" s="3"/>
      <c r="J5" s="3"/>
      <c r="K5" s="2" t="s">
        <v>796</v>
      </c>
      <c r="L5" s="2"/>
    </row>
    <row r="6">
      <c r="A6" s="3" t="s">
        <v>827</v>
      </c>
      <c r="B6" s="3" t="s">
        <v>13</v>
      </c>
      <c r="C6" s="4" t="s">
        <v>150</v>
      </c>
      <c r="D6" s="106" t="s">
        <v>740</v>
      </c>
      <c r="E6" s="106" t="s">
        <v>312</v>
      </c>
      <c r="F6" s="107" t="s">
        <v>804</v>
      </c>
      <c r="G6" s="107" t="s">
        <v>753</v>
      </c>
      <c r="H6" s="108">
        <v>1600.0</v>
      </c>
      <c r="I6" s="3"/>
      <c r="J6" s="3"/>
      <c r="K6" s="2" t="s">
        <v>799</v>
      </c>
      <c r="L6" s="2"/>
    </row>
    <row r="7">
      <c r="A7" s="3" t="s">
        <v>735</v>
      </c>
      <c r="B7" s="3" t="s">
        <v>13</v>
      </c>
      <c r="C7" s="4" t="s">
        <v>51</v>
      </c>
      <c r="D7" s="106" t="s">
        <v>736</v>
      </c>
      <c r="E7" s="106" t="s">
        <v>737</v>
      </c>
      <c r="F7" s="107" t="s">
        <v>714</v>
      </c>
      <c r="G7" s="107" t="s">
        <v>725</v>
      </c>
      <c r="H7" s="108">
        <v>1800.0</v>
      </c>
      <c r="I7" s="3"/>
      <c r="J7" s="3"/>
      <c r="K7" s="7"/>
      <c r="L7" s="7"/>
    </row>
    <row r="8">
      <c r="A8" s="3" t="s">
        <v>865</v>
      </c>
      <c r="B8" s="3" t="s">
        <v>13</v>
      </c>
      <c r="C8" s="4" t="s">
        <v>189</v>
      </c>
      <c r="D8" s="106" t="s">
        <v>866</v>
      </c>
      <c r="E8" s="106" t="s">
        <v>867</v>
      </c>
      <c r="F8" s="107" t="s">
        <v>868</v>
      </c>
      <c r="G8" s="107" t="s">
        <v>155</v>
      </c>
      <c r="H8" s="108">
        <v>2000.0</v>
      </c>
      <c r="I8" s="3"/>
      <c r="J8" s="3"/>
      <c r="K8" s="4" t="s">
        <v>67</v>
      </c>
      <c r="L8" s="4"/>
    </row>
    <row r="9">
      <c r="A9" s="3" t="s">
        <v>829</v>
      </c>
      <c r="B9" s="3" t="s">
        <v>13</v>
      </c>
      <c r="C9" s="4" t="s">
        <v>154</v>
      </c>
      <c r="D9" s="106" t="s">
        <v>830</v>
      </c>
      <c r="E9" s="106" t="s">
        <v>831</v>
      </c>
      <c r="F9" s="107" t="s">
        <v>832</v>
      </c>
      <c r="G9" s="107" t="s">
        <v>753</v>
      </c>
      <c r="H9" s="108">
        <v>1700.0</v>
      </c>
      <c r="I9" s="3"/>
      <c r="J9" s="3"/>
      <c r="K9" s="4" t="s">
        <v>19</v>
      </c>
      <c r="L9" s="4"/>
    </row>
    <row r="10">
      <c r="A10" s="3" t="s">
        <v>835</v>
      </c>
      <c r="B10" s="3" t="s">
        <v>13</v>
      </c>
      <c r="C10" s="4" t="s">
        <v>159</v>
      </c>
      <c r="D10" s="106" t="s">
        <v>836</v>
      </c>
      <c r="E10" s="106" t="s">
        <v>837</v>
      </c>
      <c r="F10" s="107" t="s">
        <v>714</v>
      </c>
      <c r="G10" s="107" t="s">
        <v>838</v>
      </c>
      <c r="H10" s="108">
        <v>1800.0</v>
      </c>
      <c r="I10" s="3"/>
      <c r="J10" s="3"/>
      <c r="K10" s="4" t="s">
        <v>19</v>
      </c>
      <c r="L10" s="4"/>
    </row>
    <row r="11">
      <c r="A11" s="3" t="s">
        <v>1110</v>
      </c>
      <c r="B11" s="3" t="s">
        <v>13</v>
      </c>
      <c r="C11" s="4" t="s">
        <v>443</v>
      </c>
      <c r="D11" s="110" t="s">
        <v>1111</v>
      </c>
      <c r="E11" s="110" t="s">
        <v>1112</v>
      </c>
      <c r="F11" s="111" t="s">
        <v>1113</v>
      </c>
      <c r="G11" s="111" t="s">
        <v>94</v>
      </c>
      <c r="H11" s="112">
        <v>1800.0</v>
      </c>
      <c r="I11" s="3">
        <f>average(H2:H11)</f>
        <v>1877.777778</v>
      </c>
      <c r="J11" s="3"/>
      <c r="K11" s="4" t="s">
        <v>60</v>
      </c>
    </row>
    <row r="12">
      <c r="A12" s="3" t="s">
        <v>1115</v>
      </c>
      <c r="B12" s="3" t="s">
        <v>13</v>
      </c>
      <c r="C12" s="4" t="s">
        <v>446</v>
      </c>
      <c r="D12" s="110" t="s">
        <v>1111</v>
      </c>
      <c r="E12" s="110" t="s">
        <v>1112</v>
      </c>
      <c r="F12" s="111" t="s">
        <v>1113</v>
      </c>
      <c r="G12" s="111" t="s">
        <v>94</v>
      </c>
      <c r="H12" s="112">
        <v>1600.0</v>
      </c>
      <c r="I12" s="3"/>
      <c r="J12" s="3"/>
      <c r="K12" s="4" t="s">
        <v>67</v>
      </c>
    </row>
    <row r="13">
      <c r="A13" s="3" t="s">
        <v>1117</v>
      </c>
      <c r="B13" s="3" t="s">
        <v>13</v>
      </c>
      <c r="C13" s="4" t="s">
        <v>449</v>
      </c>
      <c r="D13" s="110" t="s">
        <v>1111</v>
      </c>
      <c r="E13" s="110" t="s">
        <v>1112</v>
      </c>
      <c r="F13" s="111" t="s">
        <v>1113</v>
      </c>
      <c r="G13" s="111" t="s">
        <v>94</v>
      </c>
      <c r="H13" s="112">
        <v>1600.0</v>
      </c>
      <c r="I13" s="3"/>
      <c r="J13" s="3"/>
      <c r="K13" s="4" t="s">
        <v>19</v>
      </c>
    </row>
    <row r="14">
      <c r="A14" s="3" t="s">
        <v>1119</v>
      </c>
      <c r="B14" s="3" t="s">
        <v>13</v>
      </c>
      <c r="C14" s="4" t="s">
        <v>452</v>
      </c>
      <c r="D14" s="110" t="s">
        <v>1111</v>
      </c>
      <c r="E14" s="110" t="s">
        <v>1112</v>
      </c>
      <c r="F14" s="111" t="s">
        <v>1113</v>
      </c>
      <c r="G14" s="111" t="s">
        <v>1086</v>
      </c>
      <c r="H14" s="113"/>
      <c r="I14" s="3"/>
      <c r="J14" s="3"/>
      <c r="K14" s="4" t="s">
        <v>100</v>
      </c>
    </row>
    <row r="15">
      <c r="A15" s="3" t="s">
        <v>1121</v>
      </c>
      <c r="B15" s="3" t="s">
        <v>13</v>
      </c>
      <c r="C15" s="4" t="s">
        <v>455</v>
      </c>
      <c r="D15" s="110" t="s">
        <v>1111</v>
      </c>
      <c r="E15" s="110" t="s">
        <v>1112</v>
      </c>
      <c r="F15" s="111" t="s">
        <v>1113</v>
      </c>
      <c r="G15" s="111" t="s">
        <v>1086</v>
      </c>
      <c r="H15" s="112">
        <v>1600.0</v>
      </c>
      <c r="I15" s="3">
        <f>average(H12:H15)</f>
        <v>1600</v>
      </c>
      <c r="J15" s="3"/>
      <c r="K15" s="4" t="s">
        <v>796</v>
      </c>
    </row>
    <row r="16">
      <c r="A16" s="3" t="s">
        <v>1075</v>
      </c>
      <c r="B16" s="3" t="s">
        <v>13</v>
      </c>
      <c r="C16" s="4" t="s">
        <v>235</v>
      </c>
      <c r="D16" s="114" t="s">
        <v>1076</v>
      </c>
      <c r="E16" s="114" t="s">
        <v>1077</v>
      </c>
      <c r="F16" s="115" t="s">
        <v>1078</v>
      </c>
      <c r="G16" s="115" t="s">
        <v>94</v>
      </c>
      <c r="H16" s="116">
        <v>1600.0</v>
      </c>
      <c r="I16" s="3"/>
      <c r="J16" s="3"/>
      <c r="K16" s="4" t="s">
        <v>19</v>
      </c>
      <c r="L16" s="18" t="s">
        <v>20</v>
      </c>
    </row>
    <row r="17">
      <c r="A17" s="3" t="s">
        <v>1081</v>
      </c>
      <c r="B17" s="3" t="s">
        <v>13</v>
      </c>
      <c r="C17" s="4" t="s">
        <v>239</v>
      </c>
      <c r="D17" s="114" t="s">
        <v>1076</v>
      </c>
      <c r="E17" s="114" t="s">
        <v>1077</v>
      </c>
      <c r="F17" s="115" t="s">
        <v>714</v>
      </c>
      <c r="G17" s="115" t="s">
        <v>94</v>
      </c>
      <c r="H17" s="116">
        <v>1500.0</v>
      </c>
      <c r="I17" s="3"/>
      <c r="J17" s="3"/>
      <c r="K17" s="4" t="s">
        <v>37</v>
      </c>
      <c r="L17" s="18" t="s">
        <v>20</v>
      </c>
    </row>
    <row r="18">
      <c r="A18" s="3" t="s">
        <v>1091</v>
      </c>
      <c r="B18" s="3" t="s">
        <v>13</v>
      </c>
      <c r="C18" s="4" t="s">
        <v>368</v>
      </c>
      <c r="D18" s="114" t="s">
        <v>1076</v>
      </c>
      <c r="E18" s="114" t="s">
        <v>1077</v>
      </c>
      <c r="F18" s="115" t="s">
        <v>729</v>
      </c>
      <c r="G18" s="115" t="s">
        <v>1086</v>
      </c>
      <c r="H18" s="116">
        <v>1500.0</v>
      </c>
      <c r="I18" s="3"/>
      <c r="J18" s="3"/>
      <c r="K18" s="4" t="s">
        <v>60</v>
      </c>
      <c r="L18" s="4"/>
    </row>
    <row r="19">
      <c r="A19" s="3" t="s">
        <v>1104</v>
      </c>
      <c r="B19" s="3" t="s">
        <v>13</v>
      </c>
      <c r="C19" s="4" t="s">
        <v>385</v>
      </c>
      <c r="D19" s="114" t="s">
        <v>1076</v>
      </c>
      <c r="E19" s="114" t="s">
        <v>1077</v>
      </c>
      <c r="F19" s="115" t="s">
        <v>729</v>
      </c>
      <c r="G19" s="115" t="s">
        <v>94</v>
      </c>
      <c r="H19" s="116">
        <v>2300.0</v>
      </c>
      <c r="I19" s="3"/>
      <c r="J19" s="3"/>
      <c r="K19" s="4" t="s">
        <v>60</v>
      </c>
    </row>
    <row r="20">
      <c r="A20" s="3" t="s">
        <v>1083</v>
      </c>
      <c r="B20" s="3" t="s">
        <v>13</v>
      </c>
      <c r="C20" s="4" t="s">
        <v>243</v>
      </c>
      <c r="D20" s="114" t="s">
        <v>1084</v>
      </c>
      <c r="E20" s="114" t="s">
        <v>1085</v>
      </c>
      <c r="F20" s="115" t="s">
        <v>714</v>
      </c>
      <c r="G20" s="115" t="s">
        <v>1086</v>
      </c>
      <c r="H20" s="116">
        <v>2000.0</v>
      </c>
      <c r="I20" s="3"/>
      <c r="J20" s="3"/>
      <c r="K20" s="4" t="s">
        <v>37</v>
      </c>
      <c r="L20" s="18" t="s">
        <v>20</v>
      </c>
    </row>
    <row r="21">
      <c r="A21" s="3" t="s">
        <v>1106</v>
      </c>
      <c r="B21" s="3" t="s">
        <v>13</v>
      </c>
      <c r="C21" s="4" t="s">
        <v>439</v>
      </c>
      <c r="D21" s="114" t="s">
        <v>1107</v>
      </c>
      <c r="E21" s="114" t="s">
        <v>1108</v>
      </c>
      <c r="F21" s="115" t="s">
        <v>873</v>
      </c>
      <c r="G21" s="115" t="s">
        <v>94</v>
      </c>
      <c r="H21" s="116">
        <v>1700.0</v>
      </c>
      <c r="I21" s="3"/>
      <c r="J21" s="3"/>
      <c r="K21" s="4" t="s">
        <v>60</v>
      </c>
    </row>
    <row r="22">
      <c r="A22" s="3" t="s">
        <v>1123</v>
      </c>
      <c r="B22" s="3" t="s">
        <v>13</v>
      </c>
      <c r="C22" s="4" t="s">
        <v>459</v>
      </c>
      <c r="D22" s="114" t="s">
        <v>1107</v>
      </c>
      <c r="E22" s="114" t="s">
        <v>1108</v>
      </c>
      <c r="F22" s="115" t="s">
        <v>1113</v>
      </c>
      <c r="G22" s="115" t="s">
        <v>74</v>
      </c>
      <c r="H22" s="116">
        <v>1600.0</v>
      </c>
      <c r="I22" s="3"/>
      <c r="J22" s="3"/>
      <c r="K22" s="4" t="s">
        <v>60</v>
      </c>
    </row>
    <row r="23">
      <c r="A23" s="3" t="s">
        <v>1125</v>
      </c>
      <c r="B23" s="3" t="s">
        <v>13</v>
      </c>
      <c r="C23" s="4" t="s">
        <v>462</v>
      </c>
      <c r="D23" s="114" t="s">
        <v>1107</v>
      </c>
      <c r="E23" s="114" t="s">
        <v>1108</v>
      </c>
      <c r="F23" s="115" t="s">
        <v>1113</v>
      </c>
      <c r="G23" s="115" t="s">
        <v>74</v>
      </c>
      <c r="H23" s="116">
        <v>1600.0</v>
      </c>
      <c r="I23" s="3"/>
      <c r="J23" s="3"/>
      <c r="K23" s="4" t="s">
        <v>67</v>
      </c>
    </row>
    <row r="24">
      <c r="A24" s="3" t="s">
        <v>1127</v>
      </c>
      <c r="B24" s="3" t="s">
        <v>13</v>
      </c>
      <c r="C24" s="4" t="s">
        <v>465</v>
      </c>
      <c r="D24" s="114" t="s">
        <v>1107</v>
      </c>
      <c r="E24" s="114" t="s">
        <v>1108</v>
      </c>
      <c r="F24" s="115" t="s">
        <v>873</v>
      </c>
      <c r="G24" s="115" t="s">
        <v>94</v>
      </c>
      <c r="H24" s="116">
        <v>2000.0</v>
      </c>
      <c r="I24" s="3">
        <f>average(H16:H24)</f>
        <v>1755.555556</v>
      </c>
      <c r="J24" s="3"/>
      <c r="K24" s="4" t="s">
        <v>67</v>
      </c>
    </row>
    <row r="25">
      <c r="A25" s="1" t="s">
        <v>909</v>
      </c>
      <c r="B25" s="3" t="s">
        <v>13</v>
      </c>
      <c r="C25" s="4" t="s">
        <v>226</v>
      </c>
      <c r="D25" s="117" t="s">
        <v>910</v>
      </c>
      <c r="E25" s="117" t="s">
        <v>911</v>
      </c>
      <c r="F25" s="118" t="s">
        <v>769</v>
      </c>
      <c r="G25" s="118" t="s">
        <v>506</v>
      </c>
      <c r="H25" s="119">
        <v>1900.0</v>
      </c>
      <c r="I25" s="3"/>
      <c r="J25" s="3"/>
      <c r="K25" s="4" t="s">
        <v>60</v>
      </c>
      <c r="L25" s="4"/>
    </row>
    <row r="26">
      <c r="A26" s="19" t="s">
        <v>870</v>
      </c>
      <c r="B26" s="3" t="s">
        <v>13</v>
      </c>
      <c r="C26" s="4" t="s">
        <v>193</v>
      </c>
      <c r="D26" s="117" t="s">
        <v>871</v>
      </c>
      <c r="E26" s="117" t="s">
        <v>872</v>
      </c>
      <c r="F26" s="118" t="s">
        <v>873</v>
      </c>
      <c r="G26" s="118" t="s">
        <v>36</v>
      </c>
      <c r="H26" s="119">
        <v>1700.0</v>
      </c>
      <c r="I26" s="3">
        <f>average(H25:H26)</f>
        <v>1800</v>
      </c>
      <c r="J26" s="3"/>
      <c r="K26" s="4" t="s">
        <v>67</v>
      </c>
      <c r="L26" s="4"/>
    </row>
    <row r="27">
      <c r="A27" s="3" t="s">
        <v>755</v>
      </c>
      <c r="B27" s="3" t="s">
        <v>13</v>
      </c>
      <c r="C27" s="4" t="s">
        <v>70</v>
      </c>
      <c r="D27" s="101" t="s">
        <v>756</v>
      </c>
      <c r="E27" s="101" t="s">
        <v>757</v>
      </c>
      <c r="F27" s="120" t="s">
        <v>758</v>
      </c>
      <c r="G27" s="120" t="s">
        <v>753</v>
      </c>
      <c r="H27" s="121">
        <v>2400.0</v>
      </c>
      <c r="I27" s="3"/>
      <c r="J27" s="3"/>
      <c r="K27" s="16"/>
      <c r="L27" s="16"/>
    </row>
    <row r="28">
      <c r="A28" s="3" t="s">
        <v>760</v>
      </c>
      <c r="B28" s="3" t="s">
        <v>13</v>
      </c>
      <c r="C28" s="4" t="s">
        <v>73</v>
      </c>
      <c r="D28" s="101" t="s">
        <v>761</v>
      </c>
      <c r="E28" s="101" t="s">
        <v>762</v>
      </c>
      <c r="F28" s="120" t="s">
        <v>763</v>
      </c>
      <c r="G28" s="120" t="s">
        <v>764</v>
      </c>
      <c r="H28" s="121">
        <v>2200.0</v>
      </c>
      <c r="I28" s="3">
        <f>average(H27:H28)</f>
        <v>2300</v>
      </c>
      <c r="J28" s="3"/>
      <c r="K28" s="4" t="s">
        <v>19</v>
      </c>
      <c r="L28" s="4"/>
    </row>
    <row r="29">
      <c r="A29" s="3" t="s">
        <v>749</v>
      </c>
      <c r="B29" s="3" t="s">
        <v>13</v>
      </c>
      <c r="C29" s="4" t="s">
        <v>66</v>
      </c>
      <c r="D29" s="122" t="s">
        <v>750</v>
      </c>
      <c r="E29" s="122" t="s">
        <v>751</v>
      </c>
      <c r="F29" s="123" t="s">
        <v>752</v>
      </c>
      <c r="G29" s="123" t="s">
        <v>753</v>
      </c>
      <c r="H29" s="124">
        <v>3200.0</v>
      </c>
      <c r="I29" s="3" t="s">
        <v>2087</v>
      </c>
      <c r="J29" s="3"/>
      <c r="K29" s="14"/>
      <c r="L29" s="14"/>
    </row>
    <row r="30">
      <c r="A30" s="3" t="s">
        <v>913</v>
      </c>
      <c r="B30" s="3" t="s">
        <v>13</v>
      </c>
      <c r="C30" s="4" t="s">
        <v>231</v>
      </c>
      <c r="D30" s="125" t="s">
        <v>914</v>
      </c>
      <c r="E30" s="125" t="s">
        <v>270</v>
      </c>
      <c r="F30" s="126" t="s">
        <v>769</v>
      </c>
      <c r="G30" s="126" t="s">
        <v>506</v>
      </c>
      <c r="H30" s="127">
        <v>1900.0</v>
      </c>
      <c r="I30" s="3"/>
      <c r="J30" s="3"/>
      <c r="K30" s="4" t="s">
        <v>60</v>
      </c>
      <c r="L30" s="4"/>
    </row>
    <row r="31">
      <c r="A31" s="3" t="s">
        <v>861</v>
      </c>
      <c r="B31" s="3" t="s">
        <v>13</v>
      </c>
      <c r="C31" s="4" t="s">
        <v>187</v>
      </c>
      <c r="D31" s="125" t="s">
        <v>862</v>
      </c>
      <c r="E31" s="125" t="s">
        <v>863</v>
      </c>
      <c r="F31" s="126" t="s">
        <v>769</v>
      </c>
      <c r="G31" s="126" t="s">
        <v>74</v>
      </c>
      <c r="H31" s="127">
        <v>2000.0</v>
      </c>
      <c r="I31" s="3"/>
      <c r="J31" s="3"/>
      <c r="K31" s="4" t="s">
        <v>67</v>
      </c>
      <c r="L31" s="4"/>
    </row>
    <row r="32">
      <c r="A32" s="3" t="s">
        <v>1099</v>
      </c>
      <c r="B32" s="3" t="s">
        <v>13</v>
      </c>
      <c r="C32" s="4" t="s">
        <v>377</v>
      </c>
      <c r="D32" s="125" t="s">
        <v>862</v>
      </c>
      <c r="E32" s="125" t="s">
        <v>863</v>
      </c>
      <c r="F32" s="126" t="s">
        <v>804</v>
      </c>
      <c r="G32" s="126" t="s">
        <v>1097</v>
      </c>
      <c r="H32" s="127">
        <v>1700.0</v>
      </c>
      <c r="I32" s="3"/>
      <c r="J32" s="3"/>
      <c r="K32" s="4" t="s">
        <v>19</v>
      </c>
      <c r="L32" s="4" t="s">
        <v>254</v>
      </c>
    </row>
    <row r="33">
      <c r="A33" s="3" t="s">
        <v>712</v>
      </c>
      <c r="B33" s="3" t="s">
        <v>13</v>
      </c>
      <c r="C33" s="4" t="s">
        <v>23</v>
      </c>
      <c r="D33" s="125" t="s">
        <v>24</v>
      </c>
      <c r="E33" s="125" t="s">
        <v>713</v>
      </c>
      <c r="F33" s="126" t="s">
        <v>714</v>
      </c>
      <c r="G33" s="126" t="s">
        <v>710</v>
      </c>
      <c r="H33" s="128"/>
      <c r="I33" s="3"/>
      <c r="J33" s="3"/>
      <c r="K33" s="4"/>
      <c r="L33" s="4"/>
    </row>
    <row r="34">
      <c r="A34" s="3" t="s">
        <v>707</v>
      </c>
      <c r="B34" s="3" t="s">
        <v>13</v>
      </c>
      <c r="C34" s="4" t="s">
        <v>14</v>
      </c>
      <c r="D34" s="125" t="s">
        <v>708</v>
      </c>
      <c r="E34" s="125" t="s">
        <v>16</v>
      </c>
      <c r="F34" s="126" t="s">
        <v>709</v>
      </c>
      <c r="G34" s="126" t="s">
        <v>710</v>
      </c>
      <c r="H34" s="128"/>
      <c r="I34" s="3"/>
      <c r="J34" s="3"/>
      <c r="K34" s="4"/>
      <c r="L34" s="4"/>
    </row>
    <row r="35">
      <c r="A35" s="3" t="s">
        <v>727</v>
      </c>
      <c r="B35" s="3" t="s">
        <v>13</v>
      </c>
      <c r="C35" s="4" t="s">
        <v>41</v>
      </c>
      <c r="D35" s="125" t="s">
        <v>15</v>
      </c>
      <c r="E35" s="125" t="s">
        <v>728</v>
      </c>
      <c r="F35" s="126" t="s">
        <v>729</v>
      </c>
      <c r="G35" s="126" t="s">
        <v>725</v>
      </c>
      <c r="H35" s="128"/>
      <c r="I35" s="3"/>
      <c r="J35" s="3"/>
      <c r="K35" s="4"/>
      <c r="L35" s="4"/>
    </row>
    <row r="36">
      <c r="A36" s="3" t="s">
        <v>844</v>
      </c>
      <c r="B36" s="3" t="s">
        <v>13</v>
      </c>
      <c r="C36" s="4" t="s">
        <v>169</v>
      </c>
      <c r="D36" s="125" t="s">
        <v>845</v>
      </c>
      <c r="E36" s="125" t="s">
        <v>846</v>
      </c>
      <c r="F36" s="126" t="s">
        <v>847</v>
      </c>
      <c r="G36" s="126" t="s">
        <v>838</v>
      </c>
      <c r="H36" s="127">
        <v>1500.0</v>
      </c>
      <c r="I36" s="3">
        <f>average(H30:H36)</f>
        <v>1775</v>
      </c>
      <c r="J36" s="3"/>
      <c r="K36" s="4" t="s">
        <v>19</v>
      </c>
      <c r="L36" s="4"/>
    </row>
    <row r="37">
      <c r="A37" s="3" t="s">
        <v>721</v>
      </c>
      <c r="B37" s="3" t="s">
        <v>13</v>
      </c>
      <c r="C37" s="4" t="s">
        <v>33</v>
      </c>
      <c r="D37" s="114" t="s">
        <v>722</v>
      </c>
      <c r="E37" s="114" t="s">
        <v>723</v>
      </c>
      <c r="F37" s="115" t="s">
        <v>724</v>
      </c>
      <c r="G37" s="115" t="s">
        <v>725</v>
      </c>
      <c r="H37" s="116">
        <v>2900.0</v>
      </c>
      <c r="I37" s="3" t="s">
        <v>2088</v>
      </c>
      <c r="J37" s="3"/>
      <c r="K37" s="4"/>
      <c r="L37" s="4"/>
    </row>
    <row r="38">
      <c r="A38" s="3" t="s">
        <v>1164</v>
      </c>
      <c r="B38" s="3" t="s">
        <v>13</v>
      </c>
      <c r="C38" s="4" t="s">
        <v>468</v>
      </c>
      <c r="D38" s="129" t="s">
        <v>1165</v>
      </c>
      <c r="E38" s="129" t="s">
        <v>1166</v>
      </c>
      <c r="F38" s="130" t="s">
        <v>853</v>
      </c>
      <c r="G38" s="130" t="s">
        <v>1097</v>
      </c>
      <c r="H38" s="129">
        <v>2000.0</v>
      </c>
      <c r="I38" s="3" t="s">
        <v>2089</v>
      </c>
      <c r="J38" s="11"/>
      <c r="K38" s="4" t="s">
        <v>1145</v>
      </c>
      <c r="L38" s="4" t="s">
        <v>20</v>
      </c>
    </row>
    <row r="39">
      <c r="A39" s="3" t="s">
        <v>801</v>
      </c>
      <c r="B39" s="3" t="s">
        <v>13</v>
      </c>
      <c r="C39" s="4" t="s">
        <v>113</v>
      </c>
      <c r="D39" s="131" t="s">
        <v>802</v>
      </c>
      <c r="E39" s="131" t="s">
        <v>803</v>
      </c>
      <c r="F39" s="26" t="s">
        <v>804</v>
      </c>
      <c r="G39" s="26" t="s">
        <v>725</v>
      </c>
      <c r="H39" s="132">
        <v>1500.0</v>
      </c>
      <c r="I39" s="3"/>
      <c r="J39" s="3"/>
      <c r="K39" s="2" t="s">
        <v>782</v>
      </c>
      <c r="L39" s="2"/>
    </row>
    <row r="40">
      <c r="A40" s="3" t="s">
        <v>807</v>
      </c>
      <c r="B40" s="3" t="s">
        <v>13</v>
      </c>
      <c r="C40" s="4" t="s">
        <v>117</v>
      </c>
      <c r="D40" s="131" t="s">
        <v>802</v>
      </c>
      <c r="E40" s="131" t="s">
        <v>803</v>
      </c>
      <c r="F40" s="26" t="s">
        <v>804</v>
      </c>
      <c r="G40" s="26" t="s">
        <v>725</v>
      </c>
      <c r="H40" s="133"/>
      <c r="I40" s="3"/>
      <c r="J40" s="3"/>
      <c r="K40" s="2" t="s">
        <v>793</v>
      </c>
      <c r="L40" s="2"/>
    </row>
    <row r="41">
      <c r="A41" s="3" t="s">
        <v>809</v>
      </c>
      <c r="B41" s="3" t="s">
        <v>13</v>
      </c>
      <c r="C41" s="4" t="s">
        <v>120</v>
      </c>
      <c r="D41" s="131" t="s">
        <v>802</v>
      </c>
      <c r="E41" s="131" t="s">
        <v>803</v>
      </c>
      <c r="F41" s="26" t="s">
        <v>804</v>
      </c>
      <c r="G41" s="26" t="s">
        <v>810</v>
      </c>
      <c r="H41" s="133"/>
      <c r="I41" s="3"/>
      <c r="J41" s="3"/>
      <c r="K41" s="4" t="s">
        <v>786</v>
      </c>
      <c r="L41" s="4"/>
    </row>
    <row r="42">
      <c r="A42" s="11"/>
      <c r="B42" s="3" t="s">
        <v>13</v>
      </c>
      <c r="C42" s="4" t="s">
        <v>125</v>
      </c>
      <c r="D42" s="131" t="s">
        <v>802</v>
      </c>
      <c r="E42" s="131" t="s">
        <v>803</v>
      </c>
      <c r="F42" s="26" t="s">
        <v>812</v>
      </c>
      <c r="G42" s="26" t="s">
        <v>810</v>
      </c>
      <c r="H42" s="133"/>
      <c r="I42" s="3"/>
      <c r="J42" s="3"/>
      <c r="K42" s="4" t="s">
        <v>786</v>
      </c>
      <c r="L42" s="4"/>
    </row>
    <row r="43">
      <c r="A43" s="3" t="s">
        <v>814</v>
      </c>
      <c r="B43" s="3" t="s">
        <v>13</v>
      </c>
      <c r="C43" s="4" t="s">
        <v>129</v>
      </c>
      <c r="D43" s="131" t="s">
        <v>802</v>
      </c>
      <c r="E43" s="131" t="s">
        <v>803</v>
      </c>
      <c r="F43" s="26" t="s">
        <v>815</v>
      </c>
      <c r="G43" s="26" t="s">
        <v>810</v>
      </c>
      <c r="H43" s="132">
        <v>2000.0</v>
      </c>
      <c r="I43" s="3"/>
      <c r="J43" s="3"/>
      <c r="K43" s="2" t="s">
        <v>796</v>
      </c>
      <c r="L43" s="2"/>
    </row>
    <row r="44">
      <c r="A44" s="3" t="s">
        <v>817</v>
      </c>
      <c r="B44" s="3" t="s">
        <v>13</v>
      </c>
      <c r="C44" s="4" t="s">
        <v>133</v>
      </c>
      <c r="D44" s="131" t="s">
        <v>802</v>
      </c>
      <c r="E44" s="131" t="s">
        <v>803</v>
      </c>
      <c r="F44" s="26" t="s">
        <v>781</v>
      </c>
      <c r="G44" s="26" t="s">
        <v>747</v>
      </c>
      <c r="H44" s="133"/>
      <c r="I44" s="3"/>
      <c r="J44" s="3"/>
      <c r="K44" s="2" t="s">
        <v>799</v>
      </c>
      <c r="L44" s="2"/>
    </row>
    <row r="45">
      <c r="A45" s="3" t="s">
        <v>852</v>
      </c>
      <c r="B45" s="3" t="s">
        <v>13</v>
      </c>
      <c r="C45" s="4" t="s">
        <v>180</v>
      </c>
      <c r="D45" s="131" t="s">
        <v>802</v>
      </c>
      <c r="E45" s="131" t="s">
        <v>803</v>
      </c>
      <c r="F45" s="26" t="s">
        <v>853</v>
      </c>
      <c r="G45" s="26" t="s">
        <v>838</v>
      </c>
      <c r="H45" s="132">
        <v>3200.0</v>
      </c>
      <c r="I45" s="3"/>
      <c r="J45" s="3"/>
      <c r="K45" s="4" t="s">
        <v>854</v>
      </c>
      <c r="L45" s="4"/>
    </row>
    <row r="46">
      <c r="A46" s="3" t="s">
        <v>857</v>
      </c>
      <c r="B46" s="3" t="s">
        <v>13</v>
      </c>
      <c r="C46" s="4" t="s">
        <v>183</v>
      </c>
      <c r="D46" s="131" t="s">
        <v>802</v>
      </c>
      <c r="E46" s="131" t="s">
        <v>803</v>
      </c>
      <c r="F46" s="26" t="s">
        <v>804</v>
      </c>
      <c r="G46" s="26" t="s">
        <v>764</v>
      </c>
      <c r="H46" s="133"/>
      <c r="I46" s="3">
        <f>average(H39:H46)</f>
        <v>2233.333333</v>
      </c>
      <c r="J46" s="3"/>
      <c r="K46" s="4" t="s">
        <v>67</v>
      </c>
      <c r="L46" s="4"/>
    </row>
    <row r="47">
      <c r="A47" s="3" t="s">
        <v>882</v>
      </c>
      <c r="B47" s="3" t="s">
        <v>13</v>
      </c>
      <c r="C47" s="4" t="s">
        <v>202</v>
      </c>
      <c r="D47" s="134" t="s">
        <v>883</v>
      </c>
      <c r="E47" s="134" t="s">
        <v>884</v>
      </c>
      <c r="F47" s="135" t="s">
        <v>885</v>
      </c>
      <c r="G47" s="135" t="s">
        <v>36</v>
      </c>
      <c r="H47" s="136">
        <v>2700.0</v>
      </c>
      <c r="I47" s="3" t="s">
        <v>2090</v>
      </c>
      <c r="J47" s="3"/>
      <c r="K47" s="4" t="s">
        <v>786</v>
      </c>
      <c r="L47" s="4"/>
    </row>
    <row r="48">
      <c r="A48" s="3" t="s">
        <v>744</v>
      </c>
      <c r="B48" s="3" t="s">
        <v>13</v>
      </c>
      <c r="C48" s="4" t="s">
        <v>63</v>
      </c>
      <c r="D48" s="137" t="s">
        <v>745</v>
      </c>
      <c r="E48" s="137" t="s">
        <v>746</v>
      </c>
      <c r="F48" s="138" t="s">
        <v>741</v>
      </c>
      <c r="G48" s="138" t="s">
        <v>747</v>
      </c>
      <c r="H48" s="139">
        <v>3000.0</v>
      </c>
      <c r="I48" s="3"/>
      <c r="J48" s="3"/>
      <c r="K48" s="4"/>
      <c r="L48" s="4"/>
    </row>
    <row r="49">
      <c r="A49" s="3" t="s">
        <v>780</v>
      </c>
      <c r="B49" s="3" t="s">
        <v>13</v>
      </c>
      <c r="C49" s="4" t="s">
        <v>90</v>
      </c>
      <c r="D49" s="137" t="s">
        <v>745</v>
      </c>
      <c r="E49" s="137" t="s">
        <v>746</v>
      </c>
      <c r="F49" s="138" t="s">
        <v>781</v>
      </c>
      <c r="G49" s="138" t="s">
        <v>166</v>
      </c>
      <c r="H49" s="139">
        <v>2300.0</v>
      </c>
      <c r="I49" s="3"/>
      <c r="J49" s="3"/>
      <c r="K49" s="2" t="s">
        <v>782</v>
      </c>
      <c r="L49" s="2"/>
    </row>
    <row r="50">
      <c r="A50" s="3" t="s">
        <v>785</v>
      </c>
      <c r="B50" s="3" t="s">
        <v>13</v>
      </c>
      <c r="C50" s="4" t="s">
        <v>93</v>
      </c>
      <c r="D50" s="137" t="s">
        <v>745</v>
      </c>
      <c r="E50" s="137" t="s">
        <v>746</v>
      </c>
      <c r="F50" s="138" t="s">
        <v>781</v>
      </c>
      <c r="G50" s="138" t="s">
        <v>166</v>
      </c>
      <c r="H50" s="140"/>
      <c r="I50" s="3"/>
      <c r="J50" s="3"/>
      <c r="K50" s="4" t="s">
        <v>786</v>
      </c>
      <c r="L50" s="4"/>
    </row>
    <row r="51">
      <c r="A51" s="3" t="s">
        <v>788</v>
      </c>
      <c r="B51" s="3" t="s">
        <v>13</v>
      </c>
      <c r="C51" s="4" t="s">
        <v>98</v>
      </c>
      <c r="D51" s="137" t="s">
        <v>745</v>
      </c>
      <c r="E51" s="137" t="s">
        <v>746</v>
      </c>
      <c r="F51" s="138" t="s">
        <v>789</v>
      </c>
      <c r="G51" s="138" t="s">
        <v>725</v>
      </c>
      <c r="H51" s="140"/>
      <c r="I51" s="3"/>
      <c r="J51" s="3"/>
      <c r="K51" s="4" t="s">
        <v>786</v>
      </c>
      <c r="L51" s="4"/>
    </row>
    <row r="52">
      <c r="A52" s="3" t="s">
        <v>859</v>
      </c>
      <c r="B52" s="3" t="s">
        <v>13</v>
      </c>
      <c r="C52" s="4" t="s">
        <v>185</v>
      </c>
      <c r="D52" s="137" t="s">
        <v>745</v>
      </c>
      <c r="E52" s="137" t="s">
        <v>746</v>
      </c>
      <c r="F52" s="138" t="s">
        <v>741</v>
      </c>
      <c r="G52" s="138" t="s">
        <v>838</v>
      </c>
      <c r="H52" s="140"/>
      <c r="I52" s="3"/>
      <c r="J52" s="3"/>
      <c r="K52" s="4" t="s">
        <v>67</v>
      </c>
      <c r="L52" s="4"/>
    </row>
    <row r="53">
      <c r="A53" s="3" t="s">
        <v>1095</v>
      </c>
      <c r="B53" s="3" t="s">
        <v>13</v>
      </c>
      <c r="C53" s="4" t="s">
        <v>373</v>
      </c>
      <c r="D53" s="137" t="s">
        <v>1096</v>
      </c>
      <c r="E53" s="137" t="s">
        <v>370</v>
      </c>
      <c r="F53" s="138" t="s">
        <v>965</v>
      </c>
      <c r="G53" s="138" t="s">
        <v>1097</v>
      </c>
      <c r="H53" s="139">
        <v>1900.0</v>
      </c>
      <c r="I53" s="3"/>
      <c r="J53" s="3"/>
      <c r="K53" s="4" t="s">
        <v>19</v>
      </c>
      <c r="L53" s="4" t="s">
        <v>20</v>
      </c>
    </row>
    <row r="54">
      <c r="A54" s="3" t="s">
        <v>1101</v>
      </c>
      <c r="B54" s="3" t="s">
        <v>13</v>
      </c>
      <c r="C54" s="4" t="s">
        <v>381</v>
      </c>
      <c r="D54" s="137" t="s">
        <v>1096</v>
      </c>
      <c r="E54" s="137" t="s">
        <v>370</v>
      </c>
      <c r="F54" s="138" t="s">
        <v>1102</v>
      </c>
      <c r="G54" s="138" t="s">
        <v>1097</v>
      </c>
      <c r="H54" s="139">
        <v>1500.0</v>
      </c>
      <c r="I54" s="3"/>
      <c r="J54" s="3"/>
      <c r="K54" s="4" t="s">
        <v>100</v>
      </c>
      <c r="L54" s="4" t="s">
        <v>20</v>
      </c>
    </row>
    <row r="55">
      <c r="A55" s="11"/>
      <c r="B55" s="3" t="s">
        <v>13</v>
      </c>
      <c r="C55" s="4" t="s">
        <v>103</v>
      </c>
      <c r="D55" s="137" t="s">
        <v>791</v>
      </c>
      <c r="E55" s="137" t="s">
        <v>792</v>
      </c>
      <c r="F55" s="138" t="s">
        <v>719</v>
      </c>
      <c r="G55" s="138" t="s">
        <v>725</v>
      </c>
      <c r="H55" s="140"/>
      <c r="I55" s="3"/>
      <c r="J55" s="3"/>
      <c r="K55" s="2" t="s">
        <v>793</v>
      </c>
      <c r="L55" s="2"/>
    </row>
    <row r="56">
      <c r="A56" s="3" t="s">
        <v>795</v>
      </c>
      <c r="B56" s="3" t="s">
        <v>13</v>
      </c>
      <c r="C56" s="4" t="s">
        <v>106</v>
      </c>
      <c r="D56" s="137" t="s">
        <v>791</v>
      </c>
      <c r="E56" s="137" t="s">
        <v>792</v>
      </c>
      <c r="F56" s="138" t="s">
        <v>719</v>
      </c>
      <c r="G56" s="138" t="s">
        <v>725</v>
      </c>
      <c r="H56" s="139">
        <v>3000.0</v>
      </c>
      <c r="I56" s="3"/>
      <c r="J56" s="3"/>
      <c r="K56" s="2" t="s">
        <v>796</v>
      </c>
      <c r="L56" s="2"/>
    </row>
    <row r="57">
      <c r="A57" s="3" t="s">
        <v>798</v>
      </c>
      <c r="B57" s="3" t="s">
        <v>13</v>
      </c>
      <c r="C57" s="4" t="s">
        <v>110</v>
      </c>
      <c r="D57" s="137" t="s">
        <v>791</v>
      </c>
      <c r="E57" s="137" t="s">
        <v>792</v>
      </c>
      <c r="F57" s="138" t="s">
        <v>741</v>
      </c>
      <c r="G57" s="138" t="s">
        <v>166</v>
      </c>
      <c r="H57" s="139">
        <v>2200.0</v>
      </c>
      <c r="I57" s="3"/>
      <c r="J57" s="3"/>
      <c r="K57" s="2" t="s">
        <v>799</v>
      </c>
      <c r="L57" s="2"/>
    </row>
    <row r="58">
      <c r="A58" s="3" t="s">
        <v>716</v>
      </c>
      <c r="B58" s="3" t="s">
        <v>13</v>
      </c>
      <c r="C58" s="4" t="s">
        <v>28</v>
      </c>
      <c r="D58" s="137" t="s">
        <v>717</v>
      </c>
      <c r="E58" s="137" t="s">
        <v>718</v>
      </c>
      <c r="F58" s="138" t="s">
        <v>719</v>
      </c>
      <c r="G58" s="138" t="s">
        <v>710</v>
      </c>
      <c r="H58" s="140"/>
      <c r="I58" s="3"/>
      <c r="J58" s="3"/>
      <c r="K58" s="4"/>
      <c r="L58" s="4"/>
    </row>
    <row r="59">
      <c r="A59" s="3" t="s">
        <v>840</v>
      </c>
      <c r="B59" s="3" t="s">
        <v>13</v>
      </c>
      <c r="C59" s="4" t="s">
        <v>163</v>
      </c>
      <c r="D59" s="137" t="s">
        <v>841</v>
      </c>
      <c r="E59" s="137" t="s">
        <v>219</v>
      </c>
      <c r="F59" s="138" t="s">
        <v>842</v>
      </c>
      <c r="G59" s="138" t="s">
        <v>838</v>
      </c>
      <c r="H59" s="139">
        <v>2000.0</v>
      </c>
      <c r="I59" s="3"/>
      <c r="J59" s="3"/>
      <c r="K59" s="4" t="s">
        <v>19</v>
      </c>
      <c r="L59" s="4"/>
    </row>
    <row r="60">
      <c r="A60" s="3" t="s">
        <v>731</v>
      </c>
      <c r="B60" s="3" t="s">
        <v>13</v>
      </c>
      <c r="C60" s="4" t="s">
        <v>46</v>
      </c>
      <c r="D60" s="137" t="s">
        <v>218</v>
      </c>
      <c r="E60" s="137" t="s">
        <v>732</v>
      </c>
      <c r="F60" s="138" t="s">
        <v>733</v>
      </c>
      <c r="G60" s="138" t="s">
        <v>725</v>
      </c>
      <c r="H60" s="139">
        <v>1500.0</v>
      </c>
      <c r="I60" s="3">
        <f>average(H48:H60)</f>
        <v>2175</v>
      </c>
      <c r="J60" s="3"/>
      <c r="K60" s="4"/>
      <c r="L60" s="4"/>
    </row>
    <row r="61">
      <c r="A61" s="3" t="s">
        <v>875</v>
      </c>
      <c r="B61" s="3" t="s">
        <v>13</v>
      </c>
      <c r="C61" s="4" t="s">
        <v>196</v>
      </c>
      <c r="D61" s="129" t="s">
        <v>876</v>
      </c>
      <c r="E61" s="129" t="s">
        <v>877</v>
      </c>
      <c r="F61" s="130" t="s">
        <v>763</v>
      </c>
      <c r="G61" s="130" t="s">
        <v>36</v>
      </c>
      <c r="H61" s="141">
        <v>2000.0</v>
      </c>
      <c r="I61" s="3"/>
      <c r="J61" s="3"/>
      <c r="K61" s="4" t="s">
        <v>19</v>
      </c>
      <c r="L61" s="4"/>
    </row>
    <row r="62">
      <c r="A62" s="3" t="s">
        <v>880</v>
      </c>
      <c r="B62" s="3" t="s">
        <v>13</v>
      </c>
      <c r="C62" s="4" t="s">
        <v>199</v>
      </c>
      <c r="D62" s="129" t="s">
        <v>876</v>
      </c>
      <c r="E62" s="129" t="s">
        <v>877</v>
      </c>
      <c r="F62" s="130" t="s">
        <v>769</v>
      </c>
      <c r="G62" s="130" t="s">
        <v>36</v>
      </c>
      <c r="H62" s="141">
        <v>2000.0</v>
      </c>
      <c r="I62" s="3"/>
      <c r="J62" s="3"/>
      <c r="K62" s="4" t="s">
        <v>67</v>
      </c>
      <c r="L62" s="4"/>
    </row>
    <row r="63">
      <c r="A63" s="3" t="s">
        <v>887</v>
      </c>
      <c r="B63" s="3" t="s">
        <v>13</v>
      </c>
      <c r="C63" s="4" t="s">
        <v>204</v>
      </c>
      <c r="D63" s="129" t="s">
        <v>876</v>
      </c>
      <c r="E63" s="129" t="s">
        <v>877</v>
      </c>
      <c r="F63" s="130" t="s">
        <v>888</v>
      </c>
      <c r="G63" s="130" t="s">
        <v>36</v>
      </c>
      <c r="H63" s="141">
        <v>3000.0</v>
      </c>
      <c r="I63" s="3"/>
      <c r="J63" s="3"/>
      <c r="K63" s="2" t="s">
        <v>782</v>
      </c>
      <c r="L63" s="2"/>
    </row>
    <row r="64">
      <c r="A64" s="3" t="s">
        <v>891</v>
      </c>
      <c r="B64" s="3" t="s">
        <v>13</v>
      </c>
      <c r="C64" s="4" t="s">
        <v>208</v>
      </c>
      <c r="D64" s="129" t="s">
        <v>876</v>
      </c>
      <c r="E64" s="129" t="s">
        <v>877</v>
      </c>
      <c r="F64" s="130" t="s">
        <v>892</v>
      </c>
      <c r="G64" s="130" t="s">
        <v>36</v>
      </c>
      <c r="H64" s="141">
        <v>3300.0</v>
      </c>
      <c r="I64" s="3"/>
      <c r="J64" s="3"/>
      <c r="K64" s="2" t="s">
        <v>793</v>
      </c>
      <c r="L64" s="2"/>
    </row>
    <row r="65">
      <c r="A65" s="3" t="s">
        <v>894</v>
      </c>
      <c r="B65" s="3" t="s">
        <v>13</v>
      </c>
      <c r="C65" s="4" t="s">
        <v>210</v>
      </c>
      <c r="D65" s="129" t="s">
        <v>876</v>
      </c>
      <c r="E65" s="129" t="s">
        <v>877</v>
      </c>
      <c r="F65" s="130" t="s">
        <v>895</v>
      </c>
      <c r="G65" s="130" t="s">
        <v>36</v>
      </c>
      <c r="H65" s="141">
        <v>3000.0</v>
      </c>
      <c r="I65" s="3"/>
      <c r="J65" s="3"/>
      <c r="K65" s="2" t="s">
        <v>796</v>
      </c>
      <c r="L65" s="2"/>
    </row>
    <row r="66">
      <c r="A66" s="3" t="s">
        <v>897</v>
      </c>
      <c r="B66" s="3" t="s">
        <v>13</v>
      </c>
      <c r="C66" s="4" t="s">
        <v>217</v>
      </c>
      <c r="D66" s="129" t="s">
        <v>876</v>
      </c>
      <c r="E66" s="129" t="s">
        <v>877</v>
      </c>
      <c r="F66" s="130" t="s">
        <v>892</v>
      </c>
      <c r="G66" s="130" t="s">
        <v>506</v>
      </c>
      <c r="H66" s="141">
        <v>2700.0</v>
      </c>
      <c r="I66" s="3"/>
      <c r="J66" s="3"/>
      <c r="K66" s="2" t="s">
        <v>799</v>
      </c>
      <c r="L66" s="2"/>
    </row>
    <row r="67">
      <c r="A67" s="3" t="s">
        <v>903</v>
      </c>
      <c r="B67" s="3" t="s">
        <v>13</v>
      </c>
      <c r="C67" s="4" t="s">
        <v>222</v>
      </c>
      <c r="D67" s="129" t="s">
        <v>876</v>
      </c>
      <c r="E67" s="129" t="s">
        <v>877</v>
      </c>
      <c r="F67" s="130" t="s">
        <v>763</v>
      </c>
      <c r="G67" s="130" t="s">
        <v>36</v>
      </c>
      <c r="H67" s="141">
        <v>3000.0</v>
      </c>
      <c r="I67" s="3"/>
      <c r="J67" s="3"/>
      <c r="K67" s="4" t="s">
        <v>904</v>
      </c>
      <c r="L67" s="4"/>
    </row>
    <row r="68">
      <c r="A68" s="3" t="s">
        <v>907</v>
      </c>
      <c r="B68" s="3" t="s">
        <v>13</v>
      </c>
      <c r="C68" s="4" t="s">
        <v>224</v>
      </c>
      <c r="D68" s="129" t="s">
        <v>876</v>
      </c>
      <c r="E68" s="129" t="s">
        <v>877</v>
      </c>
      <c r="F68" s="130" t="s">
        <v>714</v>
      </c>
      <c r="G68" s="130" t="s">
        <v>506</v>
      </c>
      <c r="H68" s="141">
        <v>2300.0</v>
      </c>
      <c r="I68" s="3">
        <f>average(H61:H68)</f>
        <v>2662.5</v>
      </c>
      <c r="J68" s="3"/>
      <c r="K68" s="4" t="s">
        <v>60</v>
      </c>
      <c r="L68" s="4"/>
    </row>
    <row r="69">
      <c r="A69" s="3" t="s">
        <v>766</v>
      </c>
      <c r="B69" s="3" t="s">
        <v>13</v>
      </c>
      <c r="C69" s="4" t="s">
        <v>77</v>
      </c>
      <c r="D69" s="142" t="s">
        <v>767</v>
      </c>
      <c r="E69" s="142" t="s">
        <v>768</v>
      </c>
      <c r="F69" s="143" t="s">
        <v>769</v>
      </c>
      <c r="G69" s="143" t="s">
        <v>710</v>
      </c>
      <c r="H69" s="144">
        <v>1700.0</v>
      </c>
      <c r="I69" s="3" t="s">
        <v>2091</v>
      </c>
      <c r="J69" s="3"/>
      <c r="K69" s="4"/>
      <c r="L69" s="4"/>
    </row>
    <row r="70">
      <c r="A70" s="3" t="s">
        <v>776</v>
      </c>
      <c r="B70" s="3" t="s">
        <v>13</v>
      </c>
      <c r="C70" s="4" t="s">
        <v>85</v>
      </c>
      <c r="D70" s="145" t="s">
        <v>777</v>
      </c>
      <c r="E70" s="145" t="s">
        <v>778</v>
      </c>
      <c r="F70" s="146" t="s">
        <v>719</v>
      </c>
      <c r="G70" s="146" t="s">
        <v>764</v>
      </c>
      <c r="H70" s="147">
        <v>2700.0</v>
      </c>
      <c r="I70" s="3"/>
      <c r="J70" s="3"/>
      <c r="K70" s="4"/>
      <c r="L70" s="4"/>
    </row>
    <row r="71">
      <c r="A71" s="3" t="s">
        <v>772</v>
      </c>
      <c r="B71" s="3" t="s">
        <v>13</v>
      </c>
      <c r="C71" s="4" t="s">
        <v>82</v>
      </c>
      <c r="D71" s="145" t="s">
        <v>773</v>
      </c>
      <c r="E71" s="145" t="s">
        <v>30</v>
      </c>
      <c r="F71" s="146" t="s">
        <v>758</v>
      </c>
      <c r="G71" s="146" t="s">
        <v>774</v>
      </c>
      <c r="H71" s="147">
        <v>1500.0</v>
      </c>
      <c r="I71" s="3">
        <f>average(H70:H71)</f>
        <v>2100</v>
      </c>
      <c r="J71" s="3"/>
      <c r="K71" s="4"/>
      <c r="L71" s="4"/>
    </row>
    <row r="72">
      <c r="A72" s="3" t="s">
        <v>899</v>
      </c>
      <c r="B72" s="3" t="s">
        <v>246</v>
      </c>
      <c r="C72" s="4" t="s">
        <v>14</v>
      </c>
      <c r="D72" s="125" t="s">
        <v>900</v>
      </c>
      <c r="E72" s="125" t="s">
        <v>338</v>
      </c>
      <c r="F72" s="126" t="s">
        <v>901</v>
      </c>
      <c r="G72" s="126" t="s">
        <v>36</v>
      </c>
      <c r="H72" s="148" t="s">
        <v>2092</v>
      </c>
      <c r="I72" s="3"/>
      <c r="J72" s="3"/>
      <c r="K72" s="4" t="s">
        <v>67</v>
      </c>
      <c r="L72" s="4"/>
    </row>
    <row r="73">
      <c r="A73" s="3" t="s">
        <v>950</v>
      </c>
      <c r="B73" s="3" t="s">
        <v>246</v>
      </c>
      <c r="C73" s="4" t="s">
        <v>82</v>
      </c>
      <c r="D73" s="125" t="s">
        <v>900</v>
      </c>
      <c r="E73" s="125" t="s">
        <v>338</v>
      </c>
      <c r="F73" s="126" t="s">
        <v>769</v>
      </c>
      <c r="G73" s="126" t="s">
        <v>36</v>
      </c>
      <c r="H73" s="127">
        <v>1800.0</v>
      </c>
      <c r="I73" s="3"/>
      <c r="J73" s="3"/>
      <c r="K73" s="4" t="s">
        <v>19</v>
      </c>
      <c r="L73" s="4"/>
    </row>
    <row r="74">
      <c r="A74" s="3" t="s">
        <v>962</v>
      </c>
      <c r="B74" s="3" t="s">
        <v>246</v>
      </c>
      <c r="C74" s="4" t="s">
        <v>103</v>
      </c>
      <c r="D74" s="125" t="s">
        <v>900</v>
      </c>
      <c r="E74" s="125" t="s">
        <v>338</v>
      </c>
      <c r="F74" s="126" t="s">
        <v>769</v>
      </c>
      <c r="G74" s="126" t="s">
        <v>267</v>
      </c>
      <c r="H74" s="127">
        <v>2000.0</v>
      </c>
      <c r="I74" s="3"/>
      <c r="J74" s="3"/>
      <c r="K74" s="4" t="s">
        <v>78</v>
      </c>
      <c r="L74" s="4"/>
    </row>
    <row r="75">
      <c r="A75" s="3" t="s">
        <v>964</v>
      </c>
      <c r="B75" s="3" t="s">
        <v>246</v>
      </c>
      <c r="C75" s="4" t="s">
        <v>106</v>
      </c>
      <c r="D75" s="125" t="s">
        <v>900</v>
      </c>
      <c r="E75" s="125" t="s">
        <v>338</v>
      </c>
      <c r="F75" s="126" t="s">
        <v>965</v>
      </c>
      <c r="G75" s="126" t="s">
        <v>966</v>
      </c>
      <c r="H75" s="127">
        <v>1800.0</v>
      </c>
      <c r="I75" s="3"/>
      <c r="J75" s="3"/>
      <c r="K75" s="4" t="s">
        <v>19</v>
      </c>
      <c r="L75" s="4"/>
    </row>
    <row r="76">
      <c r="A76" s="3" t="s">
        <v>968</v>
      </c>
      <c r="B76" s="3" t="s">
        <v>246</v>
      </c>
      <c r="C76" s="4" t="s">
        <v>110</v>
      </c>
      <c r="D76" s="125" t="s">
        <v>900</v>
      </c>
      <c r="E76" s="125" t="s">
        <v>338</v>
      </c>
      <c r="F76" s="126" t="s">
        <v>895</v>
      </c>
      <c r="G76" s="126" t="s">
        <v>969</v>
      </c>
      <c r="H76" s="127">
        <v>2200.0</v>
      </c>
      <c r="I76" s="3"/>
      <c r="J76" s="3"/>
      <c r="K76" s="18" t="s">
        <v>19</v>
      </c>
      <c r="L76" s="18"/>
    </row>
    <row r="77">
      <c r="A77" s="3" t="s">
        <v>1017</v>
      </c>
      <c r="B77" s="3" t="s">
        <v>246</v>
      </c>
      <c r="C77" s="4" t="s">
        <v>163</v>
      </c>
      <c r="D77" s="125" t="s">
        <v>900</v>
      </c>
      <c r="E77" s="125" t="s">
        <v>338</v>
      </c>
      <c r="F77" s="126" t="s">
        <v>1018</v>
      </c>
      <c r="G77" s="126" t="s">
        <v>166</v>
      </c>
      <c r="H77" s="127">
        <v>2000.0</v>
      </c>
      <c r="I77" s="3"/>
      <c r="J77" s="3"/>
      <c r="K77" s="22" t="s">
        <v>782</v>
      </c>
      <c r="L77" s="18" t="s">
        <v>20</v>
      </c>
    </row>
    <row r="78">
      <c r="A78" s="3" t="s">
        <v>1022</v>
      </c>
      <c r="B78" s="3" t="s">
        <v>246</v>
      </c>
      <c r="C78" s="4" t="s">
        <v>169</v>
      </c>
      <c r="D78" s="125" t="s">
        <v>900</v>
      </c>
      <c r="E78" s="125" t="s">
        <v>338</v>
      </c>
      <c r="F78" s="126" t="s">
        <v>1023</v>
      </c>
      <c r="G78" s="126" t="s">
        <v>166</v>
      </c>
      <c r="H78" s="127">
        <v>2000.0</v>
      </c>
      <c r="I78" s="3"/>
      <c r="J78" s="3"/>
      <c r="K78" s="22" t="s">
        <v>793</v>
      </c>
      <c r="L78" s="18" t="s">
        <v>20</v>
      </c>
    </row>
    <row r="79">
      <c r="A79" s="3" t="s">
        <v>1025</v>
      </c>
      <c r="B79" s="3" t="s">
        <v>246</v>
      </c>
      <c r="C79" s="4" t="s">
        <v>173</v>
      </c>
      <c r="D79" s="125" t="s">
        <v>900</v>
      </c>
      <c r="E79" s="125" t="s">
        <v>338</v>
      </c>
      <c r="F79" s="126" t="s">
        <v>1023</v>
      </c>
      <c r="G79" s="126" t="s">
        <v>166</v>
      </c>
      <c r="H79" s="127">
        <v>2000.0</v>
      </c>
      <c r="I79" s="3"/>
      <c r="J79" s="3"/>
      <c r="K79" s="2" t="s">
        <v>796</v>
      </c>
      <c r="L79" s="18" t="s">
        <v>20</v>
      </c>
    </row>
    <row r="80">
      <c r="A80" s="3" t="s">
        <v>1027</v>
      </c>
      <c r="B80" s="3" t="s">
        <v>246</v>
      </c>
      <c r="C80" s="4" t="s">
        <v>177</v>
      </c>
      <c r="D80" s="125" t="s">
        <v>900</v>
      </c>
      <c r="E80" s="125" t="s">
        <v>338</v>
      </c>
      <c r="F80" s="126" t="s">
        <v>1023</v>
      </c>
      <c r="G80" s="126" t="s">
        <v>166</v>
      </c>
      <c r="H80" s="127">
        <v>1900.0</v>
      </c>
      <c r="I80" s="3"/>
      <c r="J80" s="3"/>
      <c r="K80" s="22" t="s">
        <v>799</v>
      </c>
      <c r="L80" s="18" t="s">
        <v>20</v>
      </c>
    </row>
    <row r="81">
      <c r="A81" s="3" t="s">
        <v>1029</v>
      </c>
      <c r="B81" s="3" t="s">
        <v>246</v>
      </c>
      <c r="C81" s="4" t="s">
        <v>180</v>
      </c>
      <c r="D81" s="125" t="s">
        <v>900</v>
      </c>
      <c r="E81" s="125" t="s">
        <v>338</v>
      </c>
      <c r="F81" s="126" t="s">
        <v>1023</v>
      </c>
      <c r="G81" s="126" t="s">
        <v>166</v>
      </c>
      <c r="H81" s="127">
        <v>2000.0</v>
      </c>
      <c r="I81" s="3"/>
      <c r="J81" s="3"/>
      <c r="K81" s="4" t="s">
        <v>19</v>
      </c>
      <c r="L81" s="18" t="s">
        <v>20</v>
      </c>
    </row>
    <row r="82">
      <c r="A82" s="3" t="s">
        <v>1160</v>
      </c>
      <c r="B82" s="3" t="s">
        <v>246</v>
      </c>
      <c r="C82" s="4" t="s">
        <v>385</v>
      </c>
      <c r="D82" s="125" t="s">
        <v>900</v>
      </c>
      <c r="E82" s="125" t="s">
        <v>1161</v>
      </c>
      <c r="F82" s="126" t="s">
        <v>965</v>
      </c>
      <c r="G82" s="126" t="s">
        <v>1162</v>
      </c>
      <c r="H82" s="125">
        <v>2000.0</v>
      </c>
      <c r="I82" s="11"/>
      <c r="J82" s="11"/>
      <c r="K82" s="4" t="s">
        <v>1145</v>
      </c>
      <c r="L82" s="4" t="s">
        <v>254</v>
      </c>
    </row>
    <row r="83">
      <c r="A83" s="3" t="s">
        <v>1036</v>
      </c>
      <c r="B83" s="3" t="s">
        <v>246</v>
      </c>
      <c r="C83" s="4" t="s">
        <v>185</v>
      </c>
      <c r="D83" s="125" t="s">
        <v>1037</v>
      </c>
      <c r="E83" s="125" t="s">
        <v>1038</v>
      </c>
      <c r="F83" s="126" t="s">
        <v>1013</v>
      </c>
      <c r="G83" s="126" t="s">
        <v>166</v>
      </c>
      <c r="H83" s="127">
        <v>2000.0</v>
      </c>
      <c r="I83" s="3">
        <f>average(H72:H83)</f>
        <v>1972.727273</v>
      </c>
      <c r="J83" s="3"/>
      <c r="K83" s="4" t="s">
        <v>19</v>
      </c>
      <c r="L83" s="18" t="s">
        <v>20</v>
      </c>
    </row>
    <row r="84">
      <c r="A84" s="3" t="s">
        <v>930</v>
      </c>
      <c r="B84" s="3" t="s">
        <v>246</v>
      </c>
      <c r="C84" s="4" t="s">
        <v>46</v>
      </c>
      <c r="D84" s="117" t="s">
        <v>931</v>
      </c>
      <c r="E84" s="117" t="s">
        <v>338</v>
      </c>
      <c r="F84" s="118" t="s">
        <v>769</v>
      </c>
      <c r="G84" s="118" t="s">
        <v>36</v>
      </c>
      <c r="H84" s="119">
        <v>1900.0</v>
      </c>
      <c r="I84" s="3" t="s">
        <v>2093</v>
      </c>
      <c r="J84" s="3"/>
      <c r="K84" s="20" t="s">
        <v>60</v>
      </c>
      <c r="L84" s="20"/>
    </row>
    <row r="85">
      <c r="A85" s="3" t="s">
        <v>1031</v>
      </c>
      <c r="B85" s="3" t="s">
        <v>246</v>
      </c>
      <c r="C85" s="4" t="s">
        <v>183</v>
      </c>
      <c r="D85" s="137" t="s">
        <v>1032</v>
      </c>
      <c r="E85" s="137" t="s">
        <v>1033</v>
      </c>
      <c r="F85" s="138" t="s">
        <v>1034</v>
      </c>
      <c r="G85" s="138" t="s">
        <v>166</v>
      </c>
      <c r="H85" s="139">
        <v>1900.0</v>
      </c>
      <c r="I85" s="3"/>
      <c r="J85" s="3"/>
      <c r="K85" s="4" t="s">
        <v>19</v>
      </c>
      <c r="L85" s="18" t="s">
        <v>20</v>
      </c>
    </row>
    <row r="86">
      <c r="A86" s="3" t="s">
        <v>1137</v>
      </c>
      <c r="B86" s="3" t="s">
        <v>246</v>
      </c>
      <c r="C86" s="4" t="s">
        <v>231</v>
      </c>
      <c r="D86" s="137" t="s">
        <v>1138</v>
      </c>
      <c r="E86" s="137" t="s">
        <v>867</v>
      </c>
      <c r="F86" s="138" t="s">
        <v>741</v>
      </c>
      <c r="G86" s="138" t="s">
        <v>74</v>
      </c>
      <c r="H86" s="139">
        <v>2100.0</v>
      </c>
      <c r="I86" s="11"/>
      <c r="J86" s="11"/>
      <c r="K86" s="4" t="s">
        <v>60</v>
      </c>
      <c r="L86" s="4" t="s">
        <v>254</v>
      </c>
    </row>
    <row r="87">
      <c r="A87" s="3" t="s">
        <v>1185</v>
      </c>
      <c r="B87" s="3" t="s">
        <v>246</v>
      </c>
      <c r="C87" s="4" t="s">
        <v>455</v>
      </c>
      <c r="D87" s="114" t="s">
        <v>1186</v>
      </c>
      <c r="E87" s="114" t="s">
        <v>1187</v>
      </c>
      <c r="F87" s="115" t="s">
        <v>1078</v>
      </c>
      <c r="G87" s="115" t="s">
        <v>267</v>
      </c>
      <c r="H87" s="116">
        <v>2000.0</v>
      </c>
      <c r="I87" s="11">
        <f>average(H85:H87)</f>
        <v>2000</v>
      </c>
      <c r="J87" s="11"/>
      <c r="K87" s="4" t="s">
        <v>60</v>
      </c>
    </row>
    <row r="88">
      <c r="A88" s="3" t="s">
        <v>1130</v>
      </c>
      <c r="B88" s="3" t="s">
        <v>246</v>
      </c>
      <c r="C88" s="4" t="s">
        <v>224</v>
      </c>
      <c r="D88" s="101" t="s">
        <v>1131</v>
      </c>
      <c r="E88" s="101" t="s">
        <v>1132</v>
      </c>
      <c r="F88" s="120" t="s">
        <v>758</v>
      </c>
      <c r="G88" s="120" t="s">
        <v>94</v>
      </c>
      <c r="H88" s="121">
        <v>1900.0</v>
      </c>
      <c r="I88" s="11"/>
      <c r="J88" s="11"/>
      <c r="K88" s="4" t="s">
        <v>60</v>
      </c>
    </row>
    <row r="89">
      <c r="A89" s="3" t="s">
        <v>1134</v>
      </c>
      <c r="B89" s="3" t="s">
        <v>246</v>
      </c>
      <c r="C89" s="4" t="s">
        <v>226</v>
      </c>
      <c r="D89" s="101" t="s">
        <v>1131</v>
      </c>
      <c r="E89" s="101" t="s">
        <v>1132</v>
      </c>
      <c r="F89" s="120" t="s">
        <v>974</v>
      </c>
      <c r="G89" s="120" t="s">
        <v>1135</v>
      </c>
      <c r="H89" s="121">
        <v>2200.0</v>
      </c>
      <c r="I89" s="11"/>
      <c r="J89" s="11"/>
      <c r="K89" s="4" t="s">
        <v>67</v>
      </c>
      <c r="L89" s="4" t="s">
        <v>20</v>
      </c>
    </row>
    <row r="90">
      <c r="A90" s="3" t="s">
        <v>1168</v>
      </c>
      <c r="B90" s="3" t="s">
        <v>246</v>
      </c>
      <c r="C90" s="4" t="s">
        <v>439</v>
      </c>
      <c r="D90" s="101" t="s">
        <v>1131</v>
      </c>
      <c r="E90" s="101" t="s">
        <v>1132</v>
      </c>
      <c r="F90" s="120" t="s">
        <v>842</v>
      </c>
      <c r="G90" s="120" t="s">
        <v>36</v>
      </c>
      <c r="H90" s="101">
        <v>2000.0</v>
      </c>
      <c r="I90" s="11"/>
      <c r="J90" s="11"/>
      <c r="K90" s="4" t="s">
        <v>60</v>
      </c>
    </row>
    <row r="91">
      <c r="A91" s="3" t="s">
        <v>1173</v>
      </c>
      <c r="B91" s="3" t="s">
        <v>246</v>
      </c>
      <c r="C91" s="4" t="s">
        <v>443</v>
      </c>
      <c r="D91" s="101" t="s">
        <v>1131</v>
      </c>
      <c r="E91" s="101" t="s">
        <v>1132</v>
      </c>
      <c r="F91" s="120" t="s">
        <v>974</v>
      </c>
      <c r="G91" s="120" t="s">
        <v>155</v>
      </c>
      <c r="H91" s="121">
        <v>1900.0</v>
      </c>
      <c r="I91" s="11"/>
      <c r="J91" s="11"/>
      <c r="K91" s="4" t="s">
        <v>19</v>
      </c>
      <c r="L91" s="4" t="s">
        <v>20</v>
      </c>
    </row>
    <row r="92">
      <c r="A92" s="3" t="s">
        <v>1201</v>
      </c>
      <c r="B92" s="3" t="s">
        <v>246</v>
      </c>
      <c r="C92" s="4" t="s">
        <v>471</v>
      </c>
      <c r="D92" s="101" t="s">
        <v>1131</v>
      </c>
      <c r="E92" s="149" t="s">
        <v>1132</v>
      </c>
      <c r="F92" s="120" t="s">
        <v>752</v>
      </c>
      <c r="G92" s="120" t="s">
        <v>267</v>
      </c>
      <c r="H92" s="121">
        <v>2000.0</v>
      </c>
      <c r="I92" s="11"/>
      <c r="J92" s="11"/>
      <c r="K92" s="4" t="s">
        <v>78</v>
      </c>
    </row>
    <row r="93">
      <c r="A93" s="3" t="s">
        <v>1175</v>
      </c>
      <c r="B93" s="3" t="s">
        <v>246</v>
      </c>
      <c r="C93" s="4" t="s">
        <v>446</v>
      </c>
      <c r="D93" s="101" t="s">
        <v>1176</v>
      </c>
      <c r="E93" s="101" t="s">
        <v>1177</v>
      </c>
      <c r="F93" s="120" t="s">
        <v>1018</v>
      </c>
      <c r="G93" s="120" t="s">
        <v>1135</v>
      </c>
      <c r="H93" s="121">
        <v>1900.0</v>
      </c>
      <c r="I93" s="11"/>
      <c r="J93" s="11"/>
      <c r="K93" s="4" t="s">
        <v>100</v>
      </c>
      <c r="L93" s="4" t="s">
        <v>20</v>
      </c>
    </row>
    <row r="94">
      <c r="A94" s="3" t="s">
        <v>1179</v>
      </c>
      <c r="B94" s="3" t="s">
        <v>246</v>
      </c>
      <c r="C94" s="4" t="s">
        <v>449</v>
      </c>
      <c r="D94" s="101" t="s">
        <v>252</v>
      </c>
      <c r="E94" s="101" t="s">
        <v>1180</v>
      </c>
      <c r="F94" s="120" t="s">
        <v>1018</v>
      </c>
      <c r="G94" s="120" t="s">
        <v>1181</v>
      </c>
      <c r="H94" s="121">
        <v>2200.0</v>
      </c>
      <c r="I94" s="11">
        <f>average(H88:H94)</f>
        <v>2014.285714</v>
      </c>
      <c r="J94" s="11"/>
      <c r="K94" s="4" t="s">
        <v>78</v>
      </c>
      <c r="L94" s="4" t="s">
        <v>20</v>
      </c>
    </row>
    <row r="95">
      <c r="A95" s="3" t="s">
        <v>1140</v>
      </c>
      <c r="B95" s="3" t="s">
        <v>246</v>
      </c>
      <c r="C95" s="4" t="s">
        <v>235</v>
      </c>
      <c r="D95" s="129" t="s">
        <v>1141</v>
      </c>
      <c r="E95" s="129" t="s">
        <v>1142</v>
      </c>
      <c r="F95" s="130" t="s">
        <v>940</v>
      </c>
      <c r="G95" s="130" t="s">
        <v>74</v>
      </c>
      <c r="H95" s="141">
        <v>2000.0</v>
      </c>
      <c r="I95" s="11"/>
      <c r="J95" s="11"/>
      <c r="K95" s="4" t="s">
        <v>60</v>
      </c>
      <c r="L95" s="4" t="s">
        <v>254</v>
      </c>
    </row>
    <row r="96">
      <c r="A96" s="3" t="s">
        <v>1183</v>
      </c>
      <c r="B96" s="3" t="s">
        <v>246</v>
      </c>
      <c r="C96" s="4" t="s">
        <v>452</v>
      </c>
      <c r="D96" s="129" t="s">
        <v>1141</v>
      </c>
      <c r="E96" s="129" t="s">
        <v>1142</v>
      </c>
      <c r="F96" s="130" t="s">
        <v>1078</v>
      </c>
      <c r="G96" s="130" t="s">
        <v>267</v>
      </c>
      <c r="H96" s="141">
        <v>2000.0</v>
      </c>
      <c r="I96" s="11">
        <f>average(H95:H96)</f>
        <v>2000</v>
      </c>
      <c r="J96" s="11"/>
      <c r="K96" s="4" t="s">
        <v>60</v>
      </c>
    </row>
    <row r="97">
      <c r="A97" s="3" t="s">
        <v>986</v>
      </c>
      <c r="B97" s="3" t="s">
        <v>246</v>
      </c>
      <c r="C97" s="4" t="s">
        <v>133</v>
      </c>
      <c r="D97" s="134" t="s">
        <v>987</v>
      </c>
      <c r="E97" s="134" t="s">
        <v>270</v>
      </c>
      <c r="F97" s="135" t="s">
        <v>988</v>
      </c>
      <c r="G97" s="135" t="s">
        <v>969</v>
      </c>
      <c r="H97" s="136">
        <v>2300.0</v>
      </c>
      <c r="I97" s="3"/>
      <c r="J97" s="3"/>
      <c r="K97" s="18" t="s">
        <v>19</v>
      </c>
      <c r="L97" s="18"/>
    </row>
    <row r="98">
      <c r="A98" s="3" t="s">
        <v>919</v>
      </c>
      <c r="B98" s="3" t="s">
        <v>246</v>
      </c>
      <c r="C98" s="4" t="s">
        <v>28</v>
      </c>
      <c r="D98" s="134" t="s">
        <v>920</v>
      </c>
      <c r="E98" s="134" t="s">
        <v>921</v>
      </c>
      <c r="F98" s="135" t="s">
        <v>709</v>
      </c>
      <c r="G98" s="135" t="s">
        <v>36</v>
      </c>
      <c r="H98" s="136">
        <v>2000.0</v>
      </c>
      <c r="I98" s="3"/>
      <c r="J98" s="3"/>
      <c r="K98" s="4" t="s">
        <v>67</v>
      </c>
      <c r="L98" s="4"/>
    </row>
    <row r="99">
      <c r="A99" s="3" t="s">
        <v>928</v>
      </c>
      <c r="B99" s="3" t="s">
        <v>246</v>
      </c>
      <c r="C99" s="4" t="s">
        <v>41</v>
      </c>
      <c r="D99" s="134" t="s">
        <v>920</v>
      </c>
      <c r="E99" s="134" t="s">
        <v>921</v>
      </c>
      <c r="F99" s="135" t="s">
        <v>842</v>
      </c>
      <c r="G99" s="135" t="s">
        <v>36</v>
      </c>
      <c r="H99" s="136">
        <v>1900.0</v>
      </c>
      <c r="I99" s="3"/>
      <c r="J99" s="3"/>
      <c r="K99" s="4" t="s">
        <v>60</v>
      </c>
      <c r="L99" s="4"/>
    </row>
    <row r="100">
      <c r="A100" s="3" t="s">
        <v>937</v>
      </c>
      <c r="B100" s="3" t="s">
        <v>246</v>
      </c>
      <c r="C100" s="4" t="s">
        <v>63</v>
      </c>
      <c r="D100" s="134" t="s">
        <v>920</v>
      </c>
      <c r="E100" s="134" t="s">
        <v>921</v>
      </c>
      <c r="F100" s="135" t="s">
        <v>842</v>
      </c>
      <c r="G100" s="135" t="s">
        <v>36</v>
      </c>
      <c r="H100" s="136">
        <v>2000.0</v>
      </c>
      <c r="I100" s="3"/>
      <c r="J100" s="3"/>
      <c r="K100" s="4" t="s">
        <v>19</v>
      </c>
      <c r="L100" s="4"/>
    </row>
    <row r="101">
      <c r="A101" s="3" t="s">
        <v>960</v>
      </c>
      <c r="B101" s="3" t="s">
        <v>246</v>
      </c>
      <c r="C101" s="4" t="s">
        <v>98</v>
      </c>
      <c r="D101" s="134" t="s">
        <v>920</v>
      </c>
      <c r="E101" s="134" t="s">
        <v>921</v>
      </c>
      <c r="F101" s="135" t="s">
        <v>842</v>
      </c>
      <c r="G101" s="135" t="s">
        <v>267</v>
      </c>
      <c r="H101" s="136">
        <v>1800.0</v>
      </c>
      <c r="I101" s="3"/>
      <c r="J101" s="3"/>
      <c r="K101" s="4" t="s">
        <v>78</v>
      </c>
      <c r="L101" s="4"/>
    </row>
    <row r="102">
      <c r="A102" s="3" t="s">
        <v>971</v>
      </c>
      <c r="B102" s="3" t="s">
        <v>246</v>
      </c>
      <c r="C102" s="4" t="s">
        <v>113</v>
      </c>
      <c r="D102" s="134" t="s">
        <v>972</v>
      </c>
      <c r="E102" s="134" t="s">
        <v>973</v>
      </c>
      <c r="F102" s="135" t="s">
        <v>974</v>
      </c>
      <c r="G102" s="135" t="s">
        <v>969</v>
      </c>
      <c r="H102" s="136">
        <v>2300.0</v>
      </c>
      <c r="I102" s="3"/>
      <c r="J102" s="3"/>
      <c r="K102" s="18" t="s">
        <v>19</v>
      </c>
      <c r="L102" s="18"/>
    </row>
    <row r="103">
      <c r="A103" s="3" t="s">
        <v>976</v>
      </c>
      <c r="B103" s="3" t="s">
        <v>246</v>
      </c>
      <c r="C103" s="4" t="s">
        <v>117</v>
      </c>
      <c r="D103" s="134" t="s">
        <v>972</v>
      </c>
      <c r="E103" s="134" t="s">
        <v>973</v>
      </c>
      <c r="F103" s="135" t="s">
        <v>977</v>
      </c>
      <c r="G103" s="135" t="s">
        <v>969</v>
      </c>
      <c r="H103" s="136">
        <v>2000.0</v>
      </c>
      <c r="I103" s="3"/>
      <c r="J103" s="3"/>
      <c r="K103" s="4" t="s">
        <v>19</v>
      </c>
      <c r="L103" s="4"/>
    </row>
    <row r="104">
      <c r="A104" s="3" t="s">
        <v>979</v>
      </c>
      <c r="B104" s="3" t="s">
        <v>246</v>
      </c>
      <c r="C104" s="4" t="s">
        <v>120</v>
      </c>
      <c r="D104" s="134" t="s">
        <v>972</v>
      </c>
      <c r="E104" s="134" t="s">
        <v>973</v>
      </c>
      <c r="F104" s="135" t="s">
        <v>714</v>
      </c>
      <c r="G104" s="135" t="s">
        <v>969</v>
      </c>
      <c r="H104" s="136">
        <v>1900.0</v>
      </c>
      <c r="I104" s="3"/>
      <c r="J104" s="3"/>
      <c r="K104" s="20" t="s">
        <v>19</v>
      </c>
      <c r="L104" s="20"/>
    </row>
    <row r="105">
      <c r="A105" s="3" t="s">
        <v>990</v>
      </c>
      <c r="B105" s="3" t="s">
        <v>246</v>
      </c>
      <c r="C105" s="4" t="s">
        <v>137</v>
      </c>
      <c r="D105" s="134" t="s">
        <v>991</v>
      </c>
      <c r="E105" s="134" t="s">
        <v>992</v>
      </c>
      <c r="F105" s="135" t="s">
        <v>993</v>
      </c>
      <c r="G105" s="135" t="s">
        <v>341</v>
      </c>
      <c r="H105" s="136">
        <v>2100.0</v>
      </c>
      <c r="I105" s="3"/>
      <c r="J105" s="3"/>
      <c r="K105" s="2" t="s">
        <v>782</v>
      </c>
      <c r="L105" s="23" t="s">
        <v>20</v>
      </c>
    </row>
    <row r="106">
      <c r="A106" s="3" t="s">
        <v>998</v>
      </c>
      <c r="B106" s="3" t="s">
        <v>246</v>
      </c>
      <c r="C106" s="4" t="s">
        <v>140</v>
      </c>
      <c r="D106" s="134" t="s">
        <v>991</v>
      </c>
      <c r="E106" s="134" t="s">
        <v>992</v>
      </c>
      <c r="F106" s="135" t="s">
        <v>999</v>
      </c>
      <c r="G106" s="135" t="s">
        <v>341</v>
      </c>
      <c r="H106" s="136">
        <v>2000.0</v>
      </c>
      <c r="I106" s="3"/>
      <c r="J106" s="3"/>
      <c r="K106" s="2" t="s">
        <v>793</v>
      </c>
      <c r="L106" s="18" t="s">
        <v>20</v>
      </c>
    </row>
    <row r="107">
      <c r="A107" s="3" t="s">
        <v>1001</v>
      </c>
      <c r="B107" s="3" t="s">
        <v>246</v>
      </c>
      <c r="C107" s="4" t="s">
        <v>146</v>
      </c>
      <c r="D107" s="134" t="s">
        <v>991</v>
      </c>
      <c r="E107" s="134" t="s">
        <v>992</v>
      </c>
      <c r="F107" s="135" t="s">
        <v>993</v>
      </c>
      <c r="G107" s="135" t="s">
        <v>1002</v>
      </c>
      <c r="H107" s="136">
        <v>2000.0</v>
      </c>
      <c r="I107" s="3"/>
      <c r="J107" s="3"/>
      <c r="K107" s="2" t="s">
        <v>796</v>
      </c>
      <c r="L107" s="18" t="s">
        <v>20</v>
      </c>
    </row>
    <row r="108">
      <c r="A108" s="3" t="s">
        <v>1004</v>
      </c>
      <c r="B108" s="3" t="s">
        <v>246</v>
      </c>
      <c r="C108" s="4" t="s">
        <v>150</v>
      </c>
      <c r="D108" s="134" t="s">
        <v>991</v>
      </c>
      <c r="E108" s="134" t="s">
        <v>992</v>
      </c>
      <c r="F108" s="135" t="s">
        <v>993</v>
      </c>
      <c r="G108" s="135" t="s">
        <v>1002</v>
      </c>
      <c r="H108" s="136">
        <v>2000.0</v>
      </c>
      <c r="I108" s="3"/>
      <c r="J108" s="3"/>
      <c r="K108" s="2" t="s">
        <v>799</v>
      </c>
      <c r="L108" s="18" t="s">
        <v>20</v>
      </c>
    </row>
    <row r="109">
      <c r="A109" s="3" t="s">
        <v>1012</v>
      </c>
      <c r="B109" s="3" t="s">
        <v>246</v>
      </c>
      <c r="C109" s="4" t="s">
        <v>159</v>
      </c>
      <c r="D109" s="134" t="s">
        <v>991</v>
      </c>
      <c r="E109" s="134" t="s">
        <v>992</v>
      </c>
      <c r="F109" s="135" t="s">
        <v>1013</v>
      </c>
      <c r="G109" s="135" t="s">
        <v>1002</v>
      </c>
      <c r="H109" s="136">
        <v>2000.0</v>
      </c>
      <c r="I109" s="3"/>
      <c r="J109" s="3"/>
      <c r="K109" s="4" t="s">
        <v>19</v>
      </c>
      <c r="L109" s="18" t="s">
        <v>20</v>
      </c>
    </row>
    <row r="110">
      <c r="A110" s="3" t="s">
        <v>1155</v>
      </c>
      <c r="B110" s="3" t="s">
        <v>246</v>
      </c>
      <c r="C110" s="4" t="s">
        <v>377</v>
      </c>
      <c r="D110" s="134" t="s">
        <v>991</v>
      </c>
      <c r="E110" s="134" t="s">
        <v>992</v>
      </c>
      <c r="F110" s="135" t="s">
        <v>1156</v>
      </c>
      <c r="G110" s="135" t="s">
        <v>155</v>
      </c>
      <c r="H110" s="136">
        <v>2200.0</v>
      </c>
      <c r="I110" s="11"/>
      <c r="J110" s="11"/>
      <c r="K110" s="4" t="s">
        <v>1145</v>
      </c>
      <c r="L110" s="4" t="s">
        <v>20</v>
      </c>
    </row>
    <row r="111">
      <c r="A111" s="3" t="s">
        <v>1158</v>
      </c>
      <c r="B111" s="3" t="s">
        <v>246</v>
      </c>
      <c r="C111" s="4" t="s">
        <v>381</v>
      </c>
      <c r="D111" s="134" t="s">
        <v>991</v>
      </c>
      <c r="E111" s="134" t="s">
        <v>992</v>
      </c>
      <c r="F111" s="135" t="s">
        <v>1148</v>
      </c>
      <c r="G111" s="135" t="s">
        <v>1002</v>
      </c>
      <c r="H111" s="136">
        <v>2300.0</v>
      </c>
      <c r="I111" s="11"/>
      <c r="J111" s="11"/>
      <c r="K111" s="4" t="s">
        <v>1145</v>
      </c>
      <c r="L111" s="4" t="s">
        <v>20</v>
      </c>
    </row>
    <row r="112">
      <c r="A112" s="3" t="s">
        <v>1319</v>
      </c>
      <c r="B112" s="3" t="s">
        <v>246</v>
      </c>
      <c r="C112" s="4" t="s">
        <v>474</v>
      </c>
      <c r="D112" s="134" t="s">
        <v>991</v>
      </c>
      <c r="E112" s="134" t="s">
        <v>992</v>
      </c>
      <c r="F112" s="135" t="s">
        <v>714</v>
      </c>
      <c r="G112" s="135" t="s">
        <v>59</v>
      </c>
      <c r="H112" s="136">
        <v>1800.0</v>
      </c>
      <c r="I112" s="11"/>
      <c r="J112" s="11"/>
      <c r="K112" s="4" t="s">
        <v>114</v>
      </c>
    </row>
    <row r="113">
      <c r="A113" s="3" t="s">
        <v>1321</v>
      </c>
      <c r="B113" s="3" t="s">
        <v>246</v>
      </c>
      <c r="C113" s="4" t="s">
        <v>476</v>
      </c>
      <c r="D113" s="134" t="s">
        <v>991</v>
      </c>
      <c r="E113" s="134" t="s">
        <v>992</v>
      </c>
      <c r="F113" s="135" t="s">
        <v>714</v>
      </c>
      <c r="G113" s="135" t="s">
        <v>59</v>
      </c>
      <c r="H113" s="136">
        <v>1300.0</v>
      </c>
      <c r="I113" s="11"/>
      <c r="J113" s="11"/>
      <c r="K113" s="4" t="s">
        <v>114</v>
      </c>
    </row>
    <row r="114">
      <c r="A114" s="3" t="s">
        <v>1323</v>
      </c>
      <c r="B114" s="3" t="s">
        <v>246</v>
      </c>
      <c r="C114" s="4" t="s">
        <v>480</v>
      </c>
      <c r="D114" s="134" t="s">
        <v>991</v>
      </c>
      <c r="E114" s="134" t="s">
        <v>992</v>
      </c>
      <c r="F114" s="135" t="s">
        <v>709</v>
      </c>
      <c r="G114" s="135" t="s">
        <v>54</v>
      </c>
      <c r="H114" s="136">
        <v>1400.0</v>
      </c>
      <c r="I114" s="11"/>
      <c r="J114" s="11"/>
      <c r="K114" s="4" t="s">
        <v>1767</v>
      </c>
    </row>
    <row r="115">
      <c r="A115" s="3" t="s">
        <v>1007</v>
      </c>
      <c r="B115" s="3" t="s">
        <v>246</v>
      </c>
      <c r="C115" s="4" t="s">
        <v>154</v>
      </c>
      <c r="D115" s="134" t="s">
        <v>1008</v>
      </c>
      <c r="E115" s="134" t="s">
        <v>16</v>
      </c>
      <c r="F115" s="135" t="s">
        <v>993</v>
      </c>
      <c r="G115" s="135" t="s">
        <v>1002</v>
      </c>
      <c r="H115" s="150"/>
      <c r="I115" s="3"/>
      <c r="J115" s="3"/>
      <c r="K115" s="4" t="s">
        <v>786</v>
      </c>
      <c r="L115" s="4"/>
    </row>
    <row r="116">
      <c r="A116" s="3" t="s">
        <v>1040</v>
      </c>
      <c r="B116" s="3" t="s">
        <v>246</v>
      </c>
      <c r="C116" s="4" t="s">
        <v>187</v>
      </c>
      <c r="D116" s="134" t="s">
        <v>1008</v>
      </c>
      <c r="E116" s="134" t="s">
        <v>16</v>
      </c>
      <c r="F116" s="135" t="s">
        <v>1023</v>
      </c>
      <c r="G116" s="135" t="s">
        <v>166</v>
      </c>
      <c r="H116" s="136">
        <v>2200.0</v>
      </c>
      <c r="I116" s="3">
        <f>average(H97:H116)</f>
        <v>1973.684211</v>
      </c>
      <c r="J116" s="3"/>
      <c r="K116" s="4" t="s">
        <v>19</v>
      </c>
      <c r="L116" s="18" t="s">
        <v>20</v>
      </c>
    </row>
    <row r="117">
      <c r="A117" s="3" t="s">
        <v>1189</v>
      </c>
      <c r="B117" s="3" t="s">
        <v>246</v>
      </c>
      <c r="C117" s="4" t="s">
        <v>459</v>
      </c>
      <c r="D117" s="145" t="s">
        <v>1190</v>
      </c>
      <c r="E117" s="145" t="s">
        <v>1191</v>
      </c>
      <c r="F117" s="146" t="s">
        <v>741</v>
      </c>
      <c r="G117" s="146" t="s">
        <v>267</v>
      </c>
      <c r="H117" s="147">
        <v>2100.0</v>
      </c>
      <c r="I117" s="3" t="s">
        <v>2094</v>
      </c>
      <c r="J117" s="11"/>
      <c r="K117" s="4" t="s">
        <v>19</v>
      </c>
      <c r="L117" s="4" t="s">
        <v>20</v>
      </c>
    </row>
    <row r="118">
      <c r="A118" s="3" t="s">
        <v>1193</v>
      </c>
      <c r="B118" s="3" t="s">
        <v>246</v>
      </c>
      <c r="C118" s="4" t="s">
        <v>462</v>
      </c>
      <c r="D118" s="131" t="s">
        <v>1194</v>
      </c>
      <c r="E118" s="131" t="s">
        <v>1195</v>
      </c>
      <c r="F118" s="26" t="s">
        <v>1153</v>
      </c>
      <c r="G118" s="26" t="s">
        <v>351</v>
      </c>
      <c r="H118" s="132">
        <v>2100.0</v>
      </c>
      <c r="I118" s="11"/>
      <c r="J118" s="11"/>
      <c r="K118" s="4" t="s">
        <v>100</v>
      </c>
      <c r="L118" s="4" t="s">
        <v>20</v>
      </c>
    </row>
    <row r="119">
      <c r="A119" s="3" t="s">
        <v>1197</v>
      </c>
      <c r="B119" s="3" t="s">
        <v>246</v>
      </c>
      <c r="C119" s="4" t="s">
        <v>465</v>
      </c>
      <c r="D119" s="131" t="s">
        <v>1194</v>
      </c>
      <c r="E119" s="131" t="s">
        <v>1195</v>
      </c>
      <c r="F119" s="26" t="s">
        <v>1018</v>
      </c>
      <c r="G119" s="26" t="s">
        <v>341</v>
      </c>
      <c r="H119" s="132">
        <v>2100.0</v>
      </c>
      <c r="I119" s="11"/>
      <c r="J119" s="11"/>
      <c r="K119" s="4" t="s">
        <v>1145</v>
      </c>
      <c r="L119" s="4" t="s">
        <v>254</v>
      </c>
    </row>
    <row r="120">
      <c r="A120" s="3" t="s">
        <v>1199</v>
      </c>
      <c r="B120" s="3" t="s">
        <v>246</v>
      </c>
      <c r="C120" s="4" t="s">
        <v>468</v>
      </c>
      <c r="D120" s="131" t="s">
        <v>1194</v>
      </c>
      <c r="E120" s="131" t="s">
        <v>1195</v>
      </c>
      <c r="F120" s="26" t="s">
        <v>1018</v>
      </c>
      <c r="G120" s="26" t="s">
        <v>1002</v>
      </c>
      <c r="H120" s="132">
        <v>1700.0</v>
      </c>
      <c r="I120" s="11"/>
      <c r="J120" s="11"/>
      <c r="K120" s="4" t="s">
        <v>1145</v>
      </c>
      <c r="L120" s="4" t="s">
        <v>20</v>
      </c>
    </row>
    <row r="121">
      <c r="A121" s="3" t="s">
        <v>923</v>
      </c>
      <c r="B121" s="3" t="s">
        <v>246</v>
      </c>
      <c r="C121" s="4" t="s">
        <v>33</v>
      </c>
      <c r="D121" s="101" t="s">
        <v>924</v>
      </c>
      <c r="E121" s="101" t="s">
        <v>925</v>
      </c>
      <c r="F121" s="120" t="s">
        <v>926</v>
      </c>
      <c r="G121" s="120" t="s">
        <v>36</v>
      </c>
      <c r="H121" s="121">
        <v>2000.0</v>
      </c>
      <c r="I121" s="3"/>
      <c r="J121" s="3"/>
      <c r="K121" s="20" t="s">
        <v>67</v>
      </c>
      <c r="L121" s="20"/>
    </row>
    <row r="122">
      <c r="A122" s="3" t="s">
        <v>933</v>
      </c>
      <c r="B122" s="3" t="s">
        <v>246</v>
      </c>
      <c r="C122" s="4" t="s">
        <v>51</v>
      </c>
      <c r="D122" s="101" t="s">
        <v>924</v>
      </c>
      <c r="E122" s="101" t="s">
        <v>925</v>
      </c>
      <c r="F122" s="120" t="s">
        <v>758</v>
      </c>
      <c r="G122" s="120" t="s">
        <v>36</v>
      </c>
      <c r="H122" s="121">
        <v>1700.0</v>
      </c>
      <c r="I122" s="3"/>
      <c r="J122" s="3"/>
      <c r="K122" s="4" t="s">
        <v>60</v>
      </c>
      <c r="L122" s="4"/>
    </row>
    <row r="123">
      <c r="A123" s="1" t="s">
        <v>935</v>
      </c>
      <c r="B123" s="3" t="s">
        <v>246</v>
      </c>
      <c r="C123" s="4" t="s">
        <v>58</v>
      </c>
      <c r="D123" s="101" t="s">
        <v>924</v>
      </c>
      <c r="E123" s="101" t="s">
        <v>925</v>
      </c>
      <c r="F123" s="120" t="s">
        <v>892</v>
      </c>
      <c r="G123" s="120" t="s">
        <v>36</v>
      </c>
      <c r="H123" s="121">
        <v>3200.0</v>
      </c>
      <c r="I123" s="3"/>
      <c r="J123" s="3"/>
      <c r="K123" s="4" t="s">
        <v>19</v>
      </c>
      <c r="L123" s="4"/>
    </row>
    <row r="124">
      <c r="A124" s="3" t="s">
        <v>939</v>
      </c>
      <c r="B124" s="3" t="s">
        <v>246</v>
      </c>
      <c r="C124" s="4" t="s">
        <v>66</v>
      </c>
      <c r="D124" s="101" t="s">
        <v>924</v>
      </c>
      <c r="E124" s="101" t="s">
        <v>925</v>
      </c>
      <c r="F124" s="120" t="s">
        <v>940</v>
      </c>
      <c r="G124" s="120" t="s">
        <v>36</v>
      </c>
      <c r="H124" s="121">
        <v>2000.0</v>
      </c>
      <c r="I124" s="3"/>
      <c r="J124" s="3"/>
      <c r="K124" s="2" t="s">
        <v>782</v>
      </c>
      <c r="L124" s="2"/>
    </row>
    <row r="125">
      <c r="A125" s="3" t="s">
        <v>943</v>
      </c>
      <c r="B125" s="3" t="s">
        <v>246</v>
      </c>
      <c r="C125" s="4" t="s">
        <v>70</v>
      </c>
      <c r="D125" s="101" t="s">
        <v>924</v>
      </c>
      <c r="E125" s="101" t="s">
        <v>925</v>
      </c>
      <c r="F125" s="120" t="s">
        <v>944</v>
      </c>
      <c r="G125" s="120" t="s">
        <v>36</v>
      </c>
      <c r="H125" s="121">
        <v>2500.0</v>
      </c>
      <c r="I125" s="3"/>
      <c r="J125" s="3"/>
      <c r="K125" s="2" t="s">
        <v>793</v>
      </c>
      <c r="L125" s="2"/>
    </row>
    <row r="126">
      <c r="A126" s="3" t="s">
        <v>946</v>
      </c>
      <c r="B126" s="3" t="s">
        <v>246</v>
      </c>
      <c r="C126" s="4" t="s">
        <v>73</v>
      </c>
      <c r="D126" s="101" t="s">
        <v>924</v>
      </c>
      <c r="E126" s="101" t="s">
        <v>925</v>
      </c>
      <c r="F126" s="120" t="s">
        <v>940</v>
      </c>
      <c r="G126" s="120" t="s">
        <v>36</v>
      </c>
      <c r="H126" s="121">
        <v>2500.0</v>
      </c>
      <c r="I126" s="3"/>
      <c r="J126" s="3"/>
      <c r="K126" s="2" t="s">
        <v>796</v>
      </c>
      <c r="L126" s="2"/>
    </row>
    <row r="127">
      <c r="A127" s="3" t="s">
        <v>948</v>
      </c>
      <c r="B127" s="3" t="s">
        <v>246</v>
      </c>
      <c r="C127" s="4" t="s">
        <v>77</v>
      </c>
      <c r="D127" s="101" t="s">
        <v>924</v>
      </c>
      <c r="E127" s="101" t="s">
        <v>925</v>
      </c>
      <c r="F127" s="120" t="s">
        <v>940</v>
      </c>
      <c r="G127" s="120" t="s">
        <v>36</v>
      </c>
      <c r="H127" s="151"/>
      <c r="I127" s="3"/>
      <c r="J127" s="3"/>
      <c r="K127" s="22" t="s">
        <v>799</v>
      </c>
      <c r="L127" s="22"/>
    </row>
    <row r="128">
      <c r="A128" s="3" t="s">
        <v>952</v>
      </c>
      <c r="B128" s="3" t="s">
        <v>246</v>
      </c>
      <c r="C128" s="4" t="s">
        <v>85</v>
      </c>
      <c r="D128" s="101" t="s">
        <v>924</v>
      </c>
      <c r="E128" s="101" t="s">
        <v>925</v>
      </c>
      <c r="F128" s="120" t="s">
        <v>940</v>
      </c>
      <c r="G128" s="120" t="s">
        <v>36</v>
      </c>
      <c r="H128" s="121">
        <v>2000.0</v>
      </c>
      <c r="I128" s="3"/>
      <c r="J128" s="3"/>
      <c r="K128" s="2" t="s">
        <v>953</v>
      </c>
      <c r="L128" s="2"/>
    </row>
    <row r="129">
      <c r="A129" s="3" t="s">
        <v>955</v>
      </c>
      <c r="B129" s="3" t="s">
        <v>246</v>
      </c>
      <c r="C129" s="4" t="s">
        <v>90</v>
      </c>
      <c r="D129" s="101" t="s">
        <v>924</v>
      </c>
      <c r="E129" s="101" t="s">
        <v>925</v>
      </c>
      <c r="F129" s="120" t="s">
        <v>944</v>
      </c>
      <c r="G129" s="120" t="s">
        <v>36</v>
      </c>
      <c r="H129" s="121">
        <v>2000.0</v>
      </c>
      <c r="I129" s="3"/>
      <c r="J129" s="3"/>
      <c r="K129" s="4" t="s">
        <v>78</v>
      </c>
      <c r="L129" s="4"/>
    </row>
    <row r="130">
      <c r="A130" s="3" t="s">
        <v>958</v>
      </c>
      <c r="B130" s="3" t="s">
        <v>246</v>
      </c>
      <c r="C130" s="4" t="s">
        <v>93</v>
      </c>
      <c r="D130" s="101" t="s">
        <v>924</v>
      </c>
      <c r="E130" s="101" t="s">
        <v>925</v>
      </c>
      <c r="F130" s="120" t="s">
        <v>940</v>
      </c>
      <c r="G130" s="120" t="s">
        <v>36</v>
      </c>
      <c r="H130" s="121">
        <v>2600.0</v>
      </c>
      <c r="I130" s="3"/>
      <c r="J130" s="3"/>
      <c r="K130" s="4" t="s">
        <v>78</v>
      </c>
      <c r="L130" s="4"/>
    </row>
    <row r="131">
      <c r="A131" s="3" t="s">
        <v>981</v>
      </c>
      <c r="B131" s="3" t="s">
        <v>246</v>
      </c>
      <c r="C131" s="4" t="s">
        <v>125</v>
      </c>
      <c r="D131" s="101" t="s">
        <v>924</v>
      </c>
      <c r="E131" s="101" t="s">
        <v>925</v>
      </c>
      <c r="F131" s="120" t="s">
        <v>982</v>
      </c>
      <c r="G131" s="120" t="s">
        <v>969</v>
      </c>
      <c r="H131" s="121">
        <v>2200.0</v>
      </c>
      <c r="I131" s="3"/>
      <c r="J131" s="3"/>
      <c r="K131" s="18" t="s">
        <v>19</v>
      </c>
      <c r="L131" s="18"/>
    </row>
    <row r="132">
      <c r="A132" s="3" t="s">
        <v>984</v>
      </c>
      <c r="B132" s="3" t="s">
        <v>246</v>
      </c>
      <c r="C132" s="4" t="s">
        <v>129</v>
      </c>
      <c r="D132" s="101" t="s">
        <v>924</v>
      </c>
      <c r="E132" s="101" t="s">
        <v>925</v>
      </c>
      <c r="F132" s="120" t="s">
        <v>758</v>
      </c>
      <c r="G132" s="120" t="s">
        <v>969</v>
      </c>
      <c r="H132" s="121">
        <v>2400.0</v>
      </c>
      <c r="I132" s="3"/>
      <c r="J132" s="3"/>
      <c r="K132" s="18" t="s">
        <v>19</v>
      </c>
      <c r="L132" s="18"/>
    </row>
    <row r="133">
      <c r="A133" s="3" t="s">
        <v>1045</v>
      </c>
      <c r="B133" s="3" t="s">
        <v>246</v>
      </c>
      <c r="C133" s="4" t="s">
        <v>189</v>
      </c>
      <c r="D133" s="101" t="s">
        <v>924</v>
      </c>
      <c r="E133" s="101" t="s">
        <v>925</v>
      </c>
      <c r="F133" s="120" t="s">
        <v>1013</v>
      </c>
      <c r="G133" s="120" t="s">
        <v>341</v>
      </c>
      <c r="H133" s="120" t="s">
        <v>2092</v>
      </c>
      <c r="I133" s="3"/>
      <c r="J133" s="3"/>
      <c r="K133" s="4" t="s">
        <v>19</v>
      </c>
      <c r="L133" s="18" t="s">
        <v>20</v>
      </c>
    </row>
    <row r="134">
      <c r="A134" s="3" t="s">
        <v>1048</v>
      </c>
      <c r="B134" s="3" t="s">
        <v>246</v>
      </c>
      <c r="C134" s="4" t="s">
        <v>193</v>
      </c>
      <c r="D134" s="101" t="s">
        <v>924</v>
      </c>
      <c r="E134" s="101" t="s">
        <v>925</v>
      </c>
      <c r="F134" s="120" t="s">
        <v>1049</v>
      </c>
      <c r="G134" s="120" t="s">
        <v>1050</v>
      </c>
      <c r="H134" s="121">
        <v>2200.0</v>
      </c>
      <c r="I134" s="3"/>
      <c r="J134" s="3"/>
      <c r="K134" s="4" t="s">
        <v>19</v>
      </c>
      <c r="L134" s="18" t="s">
        <v>20</v>
      </c>
    </row>
    <row r="135">
      <c r="A135" s="3" t="s">
        <v>1053</v>
      </c>
      <c r="B135" s="3" t="s">
        <v>246</v>
      </c>
      <c r="C135" s="4" t="s">
        <v>196</v>
      </c>
      <c r="D135" s="101" t="s">
        <v>924</v>
      </c>
      <c r="E135" s="101" t="s">
        <v>925</v>
      </c>
      <c r="F135" s="120" t="s">
        <v>1049</v>
      </c>
      <c r="G135" s="120" t="s">
        <v>1050</v>
      </c>
      <c r="H135" s="121">
        <v>2500.0</v>
      </c>
      <c r="I135" s="3"/>
      <c r="J135" s="3"/>
      <c r="K135" s="2" t="s">
        <v>782</v>
      </c>
      <c r="L135" s="18" t="s">
        <v>20</v>
      </c>
    </row>
    <row r="136">
      <c r="A136" s="3" t="s">
        <v>1055</v>
      </c>
      <c r="B136" s="3" t="s">
        <v>246</v>
      </c>
      <c r="C136" s="4" t="s">
        <v>199</v>
      </c>
      <c r="D136" s="101" t="s">
        <v>924</v>
      </c>
      <c r="E136" s="101" t="s">
        <v>925</v>
      </c>
      <c r="F136" s="120" t="s">
        <v>1049</v>
      </c>
      <c r="G136" s="120" t="s">
        <v>1050</v>
      </c>
      <c r="H136" s="121">
        <v>2500.0</v>
      </c>
      <c r="I136" s="3"/>
      <c r="J136" s="3"/>
      <c r="K136" s="2" t="s">
        <v>793</v>
      </c>
      <c r="L136" s="18" t="s">
        <v>20</v>
      </c>
    </row>
    <row r="137">
      <c r="A137" s="3" t="s">
        <v>1057</v>
      </c>
      <c r="B137" s="3" t="s">
        <v>246</v>
      </c>
      <c r="C137" s="4" t="s">
        <v>202</v>
      </c>
      <c r="D137" s="101" t="s">
        <v>924</v>
      </c>
      <c r="E137" s="101" t="s">
        <v>925</v>
      </c>
      <c r="F137" s="120" t="s">
        <v>1049</v>
      </c>
      <c r="G137" s="120" t="s">
        <v>1050</v>
      </c>
      <c r="H137" s="121">
        <v>2300.0</v>
      </c>
      <c r="I137" s="3"/>
      <c r="J137" s="3"/>
      <c r="K137" s="2" t="s">
        <v>796</v>
      </c>
      <c r="L137" s="18" t="s">
        <v>20</v>
      </c>
    </row>
    <row r="138">
      <c r="A138" s="3" t="s">
        <v>1059</v>
      </c>
      <c r="B138" s="3" t="s">
        <v>246</v>
      </c>
      <c r="C138" s="4" t="s">
        <v>204</v>
      </c>
      <c r="D138" s="101" t="s">
        <v>924</v>
      </c>
      <c r="E138" s="101" t="s">
        <v>925</v>
      </c>
      <c r="F138" s="120" t="s">
        <v>1049</v>
      </c>
      <c r="G138" s="120" t="s">
        <v>1050</v>
      </c>
      <c r="H138" s="121">
        <v>2300.0</v>
      </c>
      <c r="I138" s="3"/>
      <c r="J138" s="3"/>
      <c r="K138" s="2" t="s">
        <v>799</v>
      </c>
      <c r="L138" s="18" t="s">
        <v>20</v>
      </c>
    </row>
    <row r="139">
      <c r="A139" s="3" t="s">
        <v>1061</v>
      </c>
      <c r="B139" s="3" t="s">
        <v>246</v>
      </c>
      <c r="C139" s="4" t="s">
        <v>208</v>
      </c>
      <c r="D139" s="101" t="s">
        <v>924</v>
      </c>
      <c r="E139" s="101" t="s">
        <v>925</v>
      </c>
      <c r="F139" s="120" t="s">
        <v>1062</v>
      </c>
      <c r="G139" s="120" t="s">
        <v>1050</v>
      </c>
      <c r="H139" s="121">
        <v>2200.0</v>
      </c>
      <c r="I139" s="3"/>
      <c r="J139" s="3"/>
      <c r="K139" s="2" t="s">
        <v>953</v>
      </c>
      <c r="L139" s="18" t="s">
        <v>20</v>
      </c>
    </row>
    <row r="140">
      <c r="A140" s="3" t="s">
        <v>1064</v>
      </c>
      <c r="B140" s="3" t="s">
        <v>246</v>
      </c>
      <c r="C140" s="4" t="s">
        <v>210</v>
      </c>
      <c r="D140" s="101" t="s">
        <v>924</v>
      </c>
      <c r="E140" s="101" t="s">
        <v>925</v>
      </c>
      <c r="F140" s="120" t="s">
        <v>1049</v>
      </c>
      <c r="G140" s="120" t="s">
        <v>1050</v>
      </c>
      <c r="H140" s="121">
        <v>2200.0</v>
      </c>
      <c r="I140" s="3"/>
      <c r="J140" s="3"/>
      <c r="K140" s="2" t="s">
        <v>1065</v>
      </c>
      <c r="L140" s="18" t="s">
        <v>20</v>
      </c>
    </row>
    <row r="141">
      <c r="A141" s="3" t="s">
        <v>1067</v>
      </c>
      <c r="B141" s="3" t="s">
        <v>246</v>
      </c>
      <c r="C141" s="4" t="s">
        <v>217</v>
      </c>
      <c r="D141" s="101" t="s">
        <v>924</v>
      </c>
      <c r="E141" s="101" t="s">
        <v>925</v>
      </c>
      <c r="F141" s="120" t="s">
        <v>1049</v>
      </c>
      <c r="G141" s="120" t="s">
        <v>1050</v>
      </c>
      <c r="H141" s="121">
        <v>2500.0</v>
      </c>
      <c r="I141" s="3"/>
      <c r="J141" s="3"/>
      <c r="K141" s="2" t="s">
        <v>1068</v>
      </c>
      <c r="L141" s="18" t="s">
        <v>20</v>
      </c>
    </row>
    <row r="142">
      <c r="A142" s="3" t="s">
        <v>1070</v>
      </c>
      <c r="B142" s="3" t="s">
        <v>246</v>
      </c>
      <c r="C142" s="4" t="s">
        <v>222</v>
      </c>
      <c r="D142" s="101" t="s">
        <v>924</v>
      </c>
      <c r="E142" s="101" t="s">
        <v>925</v>
      </c>
      <c r="F142" s="120" t="s">
        <v>1049</v>
      </c>
      <c r="G142" s="120" t="s">
        <v>1071</v>
      </c>
      <c r="H142" s="121">
        <v>2200.0</v>
      </c>
      <c r="I142" s="3"/>
      <c r="J142" s="3"/>
      <c r="K142" s="2" t="s">
        <v>1072</v>
      </c>
      <c r="L142" s="18" t="s">
        <v>20</v>
      </c>
    </row>
    <row r="143">
      <c r="A143" s="3" t="s">
        <v>1144</v>
      </c>
      <c r="B143" s="3" t="s">
        <v>246</v>
      </c>
      <c r="C143" s="4" t="s">
        <v>239</v>
      </c>
      <c r="D143" s="101" t="s">
        <v>924</v>
      </c>
      <c r="E143" s="101" t="s">
        <v>925</v>
      </c>
      <c r="F143" s="120" t="s">
        <v>1013</v>
      </c>
      <c r="G143" s="120" t="s">
        <v>1050</v>
      </c>
      <c r="H143" s="121">
        <v>2300.0</v>
      </c>
      <c r="I143" s="11"/>
      <c r="J143" s="11"/>
      <c r="K143" s="4" t="s">
        <v>1145</v>
      </c>
      <c r="L143" s="4" t="s">
        <v>20</v>
      </c>
    </row>
    <row r="144">
      <c r="A144" s="3" t="s">
        <v>1147</v>
      </c>
      <c r="B144" s="3" t="s">
        <v>246</v>
      </c>
      <c r="C144" s="4" t="s">
        <v>243</v>
      </c>
      <c r="D144" s="101" t="s">
        <v>924</v>
      </c>
      <c r="E144" s="101" t="s">
        <v>925</v>
      </c>
      <c r="F144" s="120" t="s">
        <v>1148</v>
      </c>
      <c r="G144" s="120" t="s">
        <v>1050</v>
      </c>
      <c r="H144" s="121">
        <v>2600.0</v>
      </c>
      <c r="I144" s="11"/>
      <c r="J144" s="11"/>
      <c r="K144" s="4" t="s">
        <v>1145</v>
      </c>
      <c r="L144" s="4" t="s">
        <v>20</v>
      </c>
    </row>
    <row r="145">
      <c r="A145" s="3" t="s">
        <v>1150</v>
      </c>
      <c r="B145" s="3" t="s">
        <v>246</v>
      </c>
      <c r="C145" s="4" t="s">
        <v>368</v>
      </c>
      <c r="D145" s="101" t="s">
        <v>924</v>
      </c>
      <c r="E145" s="101" t="s">
        <v>925</v>
      </c>
      <c r="F145" s="120" t="s">
        <v>1018</v>
      </c>
      <c r="G145" s="120" t="s">
        <v>155</v>
      </c>
      <c r="H145" s="121">
        <v>1900.0</v>
      </c>
      <c r="I145" s="11"/>
      <c r="J145" s="11"/>
      <c r="K145" s="4" t="s">
        <v>1145</v>
      </c>
      <c r="L145" s="4" t="s">
        <v>20</v>
      </c>
    </row>
    <row r="146">
      <c r="A146" s="3" t="s">
        <v>1152</v>
      </c>
      <c r="B146" s="3" t="s">
        <v>246</v>
      </c>
      <c r="C146" s="4" t="s">
        <v>373</v>
      </c>
      <c r="D146" s="101" t="s">
        <v>924</v>
      </c>
      <c r="E146" s="101" t="s">
        <v>925</v>
      </c>
      <c r="F146" s="120" t="s">
        <v>1153</v>
      </c>
      <c r="G146" s="120" t="s">
        <v>155</v>
      </c>
      <c r="H146" s="121">
        <v>1400.0</v>
      </c>
      <c r="I146" s="11"/>
      <c r="J146" s="11"/>
      <c r="K146" s="4" t="s">
        <v>1145</v>
      </c>
      <c r="L146" s="4" t="s">
        <v>20</v>
      </c>
    </row>
    <row r="147">
      <c r="A147" s="3" t="s">
        <v>1325</v>
      </c>
      <c r="B147" s="3" t="s">
        <v>246</v>
      </c>
      <c r="C147" s="4" t="s">
        <v>483</v>
      </c>
      <c r="D147" s="101" t="s">
        <v>924</v>
      </c>
      <c r="E147" s="101" t="s">
        <v>925</v>
      </c>
      <c r="F147" s="120" t="s">
        <v>965</v>
      </c>
      <c r="G147" s="120" t="s">
        <v>54</v>
      </c>
      <c r="H147" s="121">
        <v>2000.0</v>
      </c>
      <c r="I147" s="11"/>
      <c r="J147" s="11"/>
      <c r="K147" s="4" t="s">
        <v>114</v>
      </c>
      <c r="L147" s="4" t="s">
        <v>20</v>
      </c>
    </row>
    <row r="148">
      <c r="A148" s="3" t="s">
        <v>1327</v>
      </c>
      <c r="B148" s="3" t="s">
        <v>246</v>
      </c>
      <c r="C148" s="4" t="s">
        <v>486</v>
      </c>
      <c r="D148" s="101" t="s">
        <v>924</v>
      </c>
      <c r="E148" s="101" t="s">
        <v>925</v>
      </c>
      <c r="F148" s="120" t="s">
        <v>789</v>
      </c>
      <c r="G148" s="120" t="s">
        <v>54</v>
      </c>
      <c r="H148" s="121">
        <v>2000.0</v>
      </c>
      <c r="I148" s="11"/>
      <c r="J148" s="11"/>
      <c r="K148" s="4" t="s">
        <v>1767</v>
      </c>
      <c r="L148" s="4" t="s">
        <v>20</v>
      </c>
    </row>
    <row r="149">
      <c r="A149" s="3" t="s">
        <v>1329</v>
      </c>
      <c r="B149" s="3" t="s">
        <v>246</v>
      </c>
      <c r="C149" s="4" t="s">
        <v>489</v>
      </c>
      <c r="D149" s="101" t="s">
        <v>924</v>
      </c>
      <c r="E149" s="101" t="s">
        <v>925</v>
      </c>
      <c r="F149" s="120" t="s">
        <v>789</v>
      </c>
      <c r="G149" s="120" t="s">
        <v>54</v>
      </c>
      <c r="H149" s="121">
        <v>1800.0</v>
      </c>
      <c r="I149" s="11"/>
      <c r="J149" s="11"/>
      <c r="K149" s="4" t="s">
        <v>1767</v>
      </c>
      <c r="L149" s="4" t="s">
        <v>20</v>
      </c>
    </row>
    <row r="150">
      <c r="A150" s="3" t="s">
        <v>1331</v>
      </c>
      <c r="B150" s="3" t="s">
        <v>246</v>
      </c>
      <c r="C150" s="4" t="s">
        <v>492</v>
      </c>
      <c r="D150" s="101" t="s">
        <v>924</v>
      </c>
      <c r="E150" s="101" t="s">
        <v>925</v>
      </c>
      <c r="F150" s="120" t="s">
        <v>789</v>
      </c>
      <c r="G150" s="120" t="s">
        <v>54</v>
      </c>
      <c r="H150" s="121">
        <v>1700.0</v>
      </c>
      <c r="I150" s="11"/>
      <c r="J150" s="11"/>
      <c r="K150" s="4" t="s">
        <v>1767</v>
      </c>
      <c r="L150" s="4" t="s">
        <v>20</v>
      </c>
    </row>
    <row r="151">
      <c r="A151" s="3" t="s">
        <v>1333</v>
      </c>
      <c r="B151" s="3" t="s">
        <v>246</v>
      </c>
      <c r="C151" s="4" t="s">
        <v>495</v>
      </c>
      <c r="D151" s="101" t="s">
        <v>924</v>
      </c>
      <c r="E151" s="101" t="s">
        <v>925</v>
      </c>
      <c r="F151" s="120" t="s">
        <v>1148</v>
      </c>
      <c r="G151" s="120" t="s">
        <v>1050</v>
      </c>
      <c r="H151" s="121">
        <v>2300.0</v>
      </c>
      <c r="I151" s="11"/>
      <c r="J151" s="11"/>
      <c r="K151" s="4" t="s">
        <v>114</v>
      </c>
      <c r="L151" s="4" t="s">
        <v>254</v>
      </c>
    </row>
    <row r="152">
      <c r="A152" s="3" t="s">
        <v>1335</v>
      </c>
      <c r="B152" s="3" t="s">
        <v>246</v>
      </c>
      <c r="C152" s="4" t="s">
        <v>498</v>
      </c>
      <c r="D152" s="101" t="s">
        <v>924</v>
      </c>
      <c r="E152" s="101" t="s">
        <v>925</v>
      </c>
      <c r="F152" s="120" t="s">
        <v>1062</v>
      </c>
      <c r="G152" s="120" t="s">
        <v>1071</v>
      </c>
      <c r="H152" s="121">
        <v>1900.0</v>
      </c>
      <c r="I152" s="11">
        <f>average(H118:H152)</f>
        <v>2175.757576</v>
      </c>
      <c r="J152" s="11"/>
      <c r="K152" s="4" t="s">
        <v>1767</v>
      </c>
      <c r="L152" s="4" t="s">
        <v>20</v>
      </c>
    </row>
    <row r="153">
      <c r="A153" s="3" t="s">
        <v>1236</v>
      </c>
      <c r="B153" s="3" t="s">
        <v>1209</v>
      </c>
      <c r="C153" s="4" t="s">
        <v>63</v>
      </c>
      <c r="D153" s="145" t="s">
        <v>1237</v>
      </c>
      <c r="E153" s="145" t="s">
        <v>1238</v>
      </c>
      <c r="F153" s="146" t="s">
        <v>714</v>
      </c>
      <c r="G153" s="146" t="s">
        <v>552</v>
      </c>
      <c r="H153" s="147">
        <v>2200.0</v>
      </c>
      <c r="I153" s="11"/>
      <c r="J153" s="11"/>
      <c r="K153" s="4" t="s">
        <v>100</v>
      </c>
    </row>
    <row r="154">
      <c r="A154" s="3" t="s">
        <v>1224</v>
      </c>
      <c r="B154" s="3" t="s">
        <v>1209</v>
      </c>
      <c r="C154" s="4" t="s">
        <v>41</v>
      </c>
      <c r="D154" s="145" t="s">
        <v>1225</v>
      </c>
      <c r="E154" s="145" t="s">
        <v>1226</v>
      </c>
      <c r="F154" s="146" t="s">
        <v>1227</v>
      </c>
      <c r="G154" s="146" t="s">
        <v>351</v>
      </c>
      <c r="H154" s="147">
        <v>2500.0</v>
      </c>
      <c r="I154" s="11">
        <f>average(H153:H154)</f>
        <v>2350</v>
      </c>
      <c r="J154" s="11"/>
      <c r="K154" s="4" t="s">
        <v>100</v>
      </c>
      <c r="L154" s="4" t="s">
        <v>254</v>
      </c>
    </row>
    <row r="155">
      <c r="A155" s="3" t="s">
        <v>1264</v>
      </c>
      <c r="B155" s="3" t="s">
        <v>1209</v>
      </c>
      <c r="C155" s="4" t="s">
        <v>106</v>
      </c>
      <c r="D155" s="125" t="s">
        <v>1265</v>
      </c>
      <c r="E155" s="125" t="s">
        <v>1266</v>
      </c>
      <c r="F155" s="126" t="s">
        <v>714</v>
      </c>
      <c r="G155" s="126" t="s">
        <v>552</v>
      </c>
      <c r="H155" s="127">
        <v>1900.0</v>
      </c>
      <c r="I155" s="3"/>
      <c r="J155" s="3"/>
      <c r="K155" s="4" t="s">
        <v>19</v>
      </c>
    </row>
    <row r="156">
      <c r="A156" s="3" t="s">
        <v>1268</v>
      </c>
      <c r="B156" s="3" t="s">
        <v>1209</v>
      </c>
      <c r="C156" s="4" t="s">
        <v>110</v>
      </c>
      <c r="D156" s="125" t="s">
        <v>1265</v>
      </c>
      <c r="E156" s="125" t="s">
        <v>1266</v>
      </c>
      <c r="F156" s="126" t="s">
        <v>714</v>
      </c>
      <c r="G156" s="126" t="s">
        <v>552</v>
      </c>
      <c r="H156" s="127">
        <v>1900.0</v>
      </c>
      <c r="I156" s="3"/>
      <c r="J156" s="3"/>
      <c r="K156" s="4" t="s">
        <v>78</v>
      </c>
    </row>
    <row r="157">
      <c r="A157" s="3" t="s">
        <v>1317</v>
      </c>
      <c r="B157" s="3" t="s">
        <v>1209</v>
      </c>
      <c r="C157" s="4" t="s">
        <v>180</v>
      </c>
      <c r="D157" s="125" t="s">
        <v>1265</v>
      </c>
      <c r="E157" s="125" t="s">
        <v>1266</v>
      </c>
      <c r="F157" s="126" t="s">
        <v>789</v>
      </c>
      <c r="G157" s="126" t="s">
        <v>1050</v>
      </c>
      <c r="H157" s="125">
        <v>1800.0</v>
      </c>
      <c r="I157" s="11">
        <f>average(H155:H157)</f>
        <v>1866.666667</v>
      </c>
      <c r="J157" s="11"/>
      <c r="K157" s="4" t="s">
        <v>100</v>
      </c>
      <c r="L157" s="4" t="s">
        <v>20</v>
      </c>
    </row>
    <row r="158">
      <c r="A158" s="3" t="s">
        <v>1258</v>
      </c>
      <c r="B158" s="3" t="s">
        <v>1209</v>
      </c>
      <c r="C158" s="4" t="s">
        <v>98</v>
      </c>
      <c r="D158" s="114" t="s">
        <v>1259</v>
      </c>
      <c r="E158" s="114" t="s">
        <v>1260</v>
      </c>
      <c r="F158" s="115" t="s">
        <v>758</v>
      </c>
      <c r="G158" s="115" t="s">
        <v>506</v>
      </c>
      <c r="H158" s="116">
        <v>1700.0</v>
      </c>
      <c r="I158" s="11"/>
      <c r="J158" s="11"/>
      <c r="K158" s="4" t="s">
        <v>100</v>
      </c>
    </row>
    <row r="159">
      <c r="A159" s="3" t="s">
        <v>1262</v>
      </c>
      <c r="B159" s="3" t="s">
        <v>1209</v>
      </c>
      <c r="C159" s="4" t="s">
        <v>103</v>
      </c>
      <c r="D159" s="114" t="s">
        <v>1259</v>
      </c>
      <c r="E159" s="114" t="s">
        <v>1260</v>
      </c>
      <c r="F159" s="115" t="s">
        <v>1078</v>
      </c>
      <c r="G159" s="115" t="s">
        <v>506</v>
      </c>
      <c r="H159" s="116">
        <v>2000.0</v>
      </c>
      <c r="I159" s="11">
        <f>average(H158:H159)</f>
        <v>1850</v>
      </c>
      <c r="J159" s="11"/>
      <c r="K159" s="4" t="s">
        <v>67</v>
      </c>
    </row>
    <row r="160">
      <c r="A160" s="3" t="s">
        <v>1208</v>
      </c>
      <c r="B160" s="3" t="s">
        <v>1209</v>
      </c>
      <c r="C160" s="4" t="s">
        <v>14</v>
      </c>
      <c r="D160" s="106" t="s">
        <v>1210</v>
      </c>
      <c r="E160" s="106" t="s">
        <v>713</v>
      </c>
      <c r="F160" s="107" t="s">
        <v>1211</v>
      </c>
      <c r="G160" s="107" t="s">
        <v>966</v>
      </c>
      <c r="H160" s="108">
        <v>3100.0</v>
      </c>
      <c r="I160" s="11"/>
      <c r="J160" s="11"/>
      <c r="K160" s="4" t="s">
        <v>19</v>
      </c>
      <c r="L160" s="4" t="s">
        <v>20</v>
      </c>
    </row>
    <row r="161">
      <c r="A161" s="3" t="s">
        <v>1217</v>
      </c>
      <c r="B161" s="3" t="s">
        <v>1209</v>
      </c>
      <c r="C161" s="4" t="s">
        <v>28</v>
      </c>
      <c r="D161" s="106" t="s">
        <v>1210</v>
      </c>
      <c r="E161" s="106" t="s">
        <v>713</v>
      </c>
      <c r="F161" s="107" t="s">
        <v>752</v>
      </c>
      <c r="G161" s="107" t="s">
        <v>351</v>
      </c>
      <c r="H161" s="108">
        <v>2800.0</v>
      </c>
      <c r="I161" s="11"/>
      <c r="J161" s="11"/>
      <c r="K161" s="4" t="s">
        <v>19</v>
      </c>
    </row>
    <row r="162">
      <c r="A162" s="3" t="s">
        <v>1233</v>
      </c>
      <c r="B162" s="3" t="s">
        <v>1209</v>
      </c>
      <c r="C162" s="4" t="s">
        <v>58</v>
      </c>
      <c r="D162" s="106" t="s">
        <v>1210</v>
      </c>
      <c r="E162" s="106" t="s">
        <v>713</v>
      </c>
      <c r="F162" s="107" t="s">
        <v>1234</v>
      </c>
      <c r="G162" s="107" t="s">
        <v>506</v>
      </c>
      <c r="H162" s="108">
        <v>2600.0</v>
      </c>
      <c r="I162" s="11"/>
      <c r="J162" s="11"/>
      <c r="K162" s="4" t="s">
        <v>19</v>
      </c>
    </row>
    <row r="163">
      <c r="A163" s="3" t="s">
        <v>1308</v>
      </c>
      <c r="B163" s="3" t="s">
        <v>1209</v>
      </c>
      <c r="C163" s="4" t="s">
        <v>163</v>
      </c>
      <c r="D163" s="106" t="s">
        <v>1210</v>
      </c>
      <c r="E163" s="106" t="s">
        <v>713</v>
      </c>
      <c r="F163" s="107" t="s">
        <v>1102</v>
      </c>
      <c r="G163" s="107" t="s">
        <v>1050</v>
      </c>
      <c r="H163" s="108">
        <v>1900.0</v>
      </c>
      <c r="I163" s="11"/>
      <c r="J163" s="11"/>
      <c r="K163" s="4" t="s">
        <v>19</v>
      </c>
      <c r="L163" s="4" t="s">
        <v>20</v>
      </c>
    </row>
    <row r="164">
      <c r="A164" s="3" t="s">
        <v>1310</v>
      </c>
      <c r="B164" s="3" t="s">
        <v>1209</v>
      </c>
      <c r="C164" s="4" t="s">
        <v>169</v>
      </c>
      <c r="D164" s="106" t="s">
        <v>1210</v>
      </c>
      <c r="E164" s="106" t="s">
        <v>713</v>
      </c>
      <c r="F164" s="107" t="s">
        <v>1078</v>
      </c>
      <c r="G164" s="107" t="s">
        <v>552</v>
      </c>
      <c r="H164" s="108">
        <v>1900.0</v>
      </c>
      <c r="I164" s="11"/>
      <c r="J164" s="11"/>
      <c r="K164" s="4" t="s">
        <v>60</v>
      </c>
    </row>
    <row r="165">
      <c r="A165" s="3" t="s">
        <v>1312</v>
      </c>
      <c r="B165" s="3" t="s">
        <v>1209</v>
      </c>
      <c r="C165" s="4" t="s">
        <v>173</v>
      </c>
      <c r="D165" s="106" t="s">
        <v>1210</v>
      </c>
      <c r="E165" s="106" t="s">
        <v>713</v>
      </c>
      <c r="F165" s="107" t="s">
        <v>1078</v>
      </c>
      <c r="G165" s="107" t="s">
        <v>1313</v>
      </c>
      <c r="H165" s="108">
        <v>2200.0</v>
      </c>
      <c r="I165" s="11"/>
      <c r="J165" s="11"/>
      <c r="K165" s="4" t="s">
        <v>1145</v>
      </c>
    </row>
    <row r="166">
      <c r="A166" s="3" t="s">
        <v>1315</v>
      </c>
      <c r="B166" s="3" t="s">
        <v>1209</v>
      </c>
      <c r="C166" s="4" t="s">
        <v>177</v>
      </c>
      <c r="D166" s="106" t="s">
        <v>1210</v>
      </c>
      <c r="E166" s="106" t="s">
        <v>713</v>
      </c>
      <c r="F166" s="107" t="s">
        <v>758</v>
      </c>
      <c r="G166" s="107" t="s">
        <v>1313</v>
      </c>
      <c r="H166" s="108">
        <v>2200.0</v>
      </c>
      <c r="I166" s="11">
        <f>average(H160:H166)</f>
        <v>2385.714286</v>
      </c>
      <c r="J166" s="11"/>
      <c r="K166" s="4" t="s">
        <v>67</v>
      </c>
    </row>
    <row r="167">
      <c r="A167" s="3" t="s">
        <v>1295</v>
      </c>
      <c r="B167" s="3" t="s">
        <v>1209</v>
      </c>
      <c r="C167" s="4" t="s">
        <v>146</v>
      </c>
      <c r="D167" s="114" t="s">
        <v>1296</v>
      </c>
      <c r="E167" s="114" t="s">
        <v>1297</v>
      </c>
      <c r="F167" s="115" t="s">
        <v>1153</v>
      </c>
      <c r="G167" s="115" t="s">
        <v>94</v>
      </c>
      <c r="H167" s="116">
        <v>2200.0</v>
      </c>
      <c r="I167" s="3" t="s">
        <v>2095</v>
      </c>
      <c r="J167" s="3"/>
      <c r="K167" s="4" t="s">
        <v>100</v>
      </c>
      <c r="L167" s="4" t="s">
        <v>20</v>
      </c>
    </row>
    <row r="168">
      <c r="A168" s="3" t="s">
        <v>1278</v>
      </c>
      <c r="B168" s="3" t="s">
        <v>1209</v>
      </c>
      <c r="C168" s="4" t="s">
        <v>125</v>
      </c>
      <c r="D168" s="131" t="s">
        <v>1279</v>
      </c>
      <c r="E168" s="131" t="s">
        <v>1280</v>
      </c>
      <c r="F168" s="26" t="s">
        <v>758</v>
      </c>
      <c r="G168" s="26" t="s">
        <v>36</v>
      </c>
      <c r="H168" s="132">
        <v>2000.0</v>
      </c>
      <c r="I168" s="3" t="s">
        <v>2089</v>
      </c>
      <c r="J168" s="11"/>
      <c r="K168" s="4" t="s">
        <v>19</v>
      </c>
    </row>
    <row r="169">
      <c r="A169" s="3" t="s">
        <v>1337</v>
      </c>
      <c r="B169" s="3" t="s">
        <v>1209</v>
      </c>
      <c r="C169" s="4" t="s">
        <v>183</v>
      </c>
      <c r="D169" s="110" t="s">
        <v>1338</v>
      </c>
      <c r="E169" s="110" t="s">
        <v>1339</v>
      </c>
      <c r="F169" s="152">
        <v>6100.0</v>
      </c>
      <c r="G169" s="111" t="s">
        <v>36</v>
      </c>
      <c r="H169" s="112">
        <v>1800.0</v>
      </c>
      <c r="I169" s="11"/>
      <c r="J169" s="11"/>
      <c r="K169" s="4" t="s">
        <v>114</v>
      </c>
      <c r="L169" s="4" t="s">
        <v>20</v>
      </c>
    </row>
    <row r="170">
      <c r="A170" s="3" t="s">
        <v>1340</v>
      </c>
      <c r="B170" s="3" t="s">
        <v>1209</v>
      </c>
      <c r="C170" s="4" t="s">
        <v>185</v>
      </c>
      <c r="D170" s="110" t="s">
        <v>1338</v>
      </c>
      <c r="E170" s="110" t="s">
        <v>1339</v>
      </c>
      <c r="F170" s="111" t="s">
        <v>1034</v>
      </c>
      <c r="G170" s="111" t="s">
        <v>36</v>
      </c>
      <c r="H170" s="112">
        <v>1900.0</v>
      </c>
      <c r="I170" s="11"/>
      <c r="J170" s="11"/>
      <c r="K170" s="4" t="s">
        <v>1767</v>
      </c>
      <c r="L170" s="4" t="s">
        <v>20</v>
      </c>
    </row>
    <row r="171">
      <c r="A171" s="3" t="s">
        <v>1342</v>
      </c>
      <c r="B171" s="3" t="s">
        <v>1209</v>
      </c>
      <c r="C171" s="4" t="s">
        <v>187</v>
      </c>
      <c r="D171" s="110" t="s">
        <v>1338</v>
      </c>
      <c r="E171" s="110" t="s">
        <v>1339</v>
      </c>
      <c r="F171" s="111" t="s">
        <v>944</v>
      </c>
      <c r="G171" s="111" t="s">
        <v>36</v>
      </c>
      <c r="H171" s="112">
        <v>1900.0</v>
      </c>
      <c r="I171" s="11">
        <f>average(H169:H171)</f>
        <v>1866.666667</v>
      </c>
      <c r="J171" s="11"/>
      <c r="K171" s="4" t="s">
        <v>1767</v>
      </c>
      <c r="L171" s="4" t="s">
        <v>20</v>
      </c>
    </row>
    <row r="172">
      <c r="A172" s="3" t="s">
        <v>1282</v>
      </c>
      <c r="B172" s="3" t="s">
        <v>1209</v>
      </c>
      <c r="C172" s="4" t="s">
        <v>129</v>
      </c>
      <c r="D172" s="142" t="s">
        <v>1283</v>
      </c>
      <c r="E172" s="142" t="s">
        <v>1284</v>
      </c>
      <c r="F172" s="143" t="s">
        <v>1227</v>
      </c>
      <c r="G172" s="143" t="s">
        <v>74</v>
      </c>
      <c r="H172" s="144">
        <v>2200.0</v>
      </c>
      <c r="I172" s="3"/>
      <c r="J172" s="3"/>
      <c r="K172" s="4" t="s">
        <v>100</v>
      </c>
      <c r="L172" s="4" t="s">
        <v>20</v>
      </c>
    </row>
    <row r="173">
      <c r="A173" s="3" t="s">
        <v>1287</v>
      </c>
      <c r="B173" s="3" t="s">
        <v>1209</v>
      </c>
      <c r="C173" s="4" t="s">
        <v>133</v>
      </c>
      <c r="D173" s="142" t="s">
        <v>1283</v>
      </c>
      <c r="E173" s="142" t="s">
        <v>1284</v>
      </c>
      <c r="F173" s="143" t="s">
        <v>1227</v>
      </c>
      <c r="G173" s="143" t="s">
        <v>74</v>
      </c>
      <c r="H173" s="144">
        <v>2200.0</v>
      </c>
      <c r="I173" s="3"/>
      <c r="J173" s="3"/>
      <c r="K173" s="4" t="s">
        <v>78</v>
      </c>
      <c r="L173" s="4" t="s">
        <v>20</v>
      </c>
    </row>
    <row r="174">
      <c r="A174" s="3" t="s">
        <v>1289</v>
      </c>
      <c r="B174" s="3" t="s">
        <v>1209</v>
      </c>
      <c r="C174" s="4" t="s">
        <v>137</v>
      </c>
      <c r="D174" s="142" t="s">
        <v>1283</v>
      </c>
      <c r="E174" s="142" t="s">
        <v>1284</v>
      </c>
      <c r="F174" s="143" t="s">
        <v>1018</v>
      </c>
      <c r="G174" s="143" t="s">
        <v>74</v>
      </c>
      <c r="H174" s="144">
        <v>2000.0</v>
      </c>
      <c r="I174" s="3"/>
      <c r="J174" s="3"/>
      <c r="K174" s="4" t="s">
        <v>1145</v>
      </c>
      <c r="L174" s="4" t="s">
        <v>20</v>
      </c>
    </row>
    <row r="175">
      <c r="A175" s="3" t="s">
        <v>1291</v>
      </c>
      <c r="B175" s="3" t="s">
        <v>1209</v>
      </c>
      <c r="C175" s="4" t="s">
        <v>140</v>
      </c>
      <c r="D175" s="142" t="s">
        <v>1283</v>
      </c>
      <c r="E175" s="142" t="s">
        <v>1284</v>
      </c>
      <c r="F175" s="143" t="s">
        <v>940</v>
      </c>
      <c r="G175" s="143" t="s">
        <v>94</v>
      </c>
      <c r="H175" s="144">
        <v>2200.0</v>
      </c>
      <c r="I175" s="3">
        <f>average(H172:H175)</f>
        <v>2150</v>
      </c>
      <c r="J175" s="3"/>
      <c r="K175" s="4" t="s">
        <v>19</v>
      </c>
      <c r="L175" s="4" t="s">
        <v>20</v>
      </c>
    </row>
    <row r="176">
      <c r="A176" s="3" t="s">
        <v>1240</v>
      </c>
      <c r="B176" s="3" t="s">
        <v>1209</v>
      </c>
      <c r="C176" s="4" t="s">
        <v>66</v>
      </c>
      <c r="D176" s="131" t="s">
        <v>1241</v>
      </c>
      <c r="E176" s="131" t="s">
        <v>1242</v>
      </c>
      <c r="F176" s="26" t="s">
        <v>752</v>
      </c>
      <c r="G176" s="26" t="s">
        <v>506</v>
      </c>
      <c r="H176" s="132">
        <v>2500.0</v>
      </c>
      <c r="I176" s="11"/>
      <c r="J176" s="11"/>
      <c r="K176" s="4" t="s">
        <v>19</v>
      </c>
    </row>
    <row r="177">
      <c r="A177" s="3" t="s">
        <v>1221</v>
      </c>
      <c r="B177" s="3" t="s">
        <v>1209</v>
      </c>
      <c r="C177" s="4" t="s">
        <v>33</v>
      </c>
      <c r="D177" s="131" t="s">
        <v>1222</v>
      </c>
      <c r="E177" s="131" t="s">
        <v>389</v>
      </c>
      <c r="F177" s="26" t="s">
        <v>1102</v>
      </c>
      <c r="G177" s="26" t="s">
        <v>351</v>
      </c>
      <c r="H177" s="132">
        <v>2600.0</v>
      </c>
      <c r="I177" s="11"/>
      <c r="J177" s="11"/>
      <c r="K177" s="4" t="s">
        <v>19</v>
      </c>
      <c r="L177" s="4" t="s">
        <v>20</v>
      </c>
    </row>
    <row r="178">
      <c r="A178" s="3" t="s">
        <v>1229</v>
      </c>
      <c r="B178" s="3" t="s">
        <v>1209</v>
      </c>
      <c r="C178" s="4" t="s">
        <v>46</v>
      </c>
      <c r="D178" s="131" t="s">
        <v>1222</v>
      </c>
      <c r="E178" s="131" t="s">
        <v>389</v>
      </c>
      <c r="F178" s="26" t="s">
        <v>1102</v>
      </c>
      <c r="G178" s="26" t="s">
        <v>351</v>
      </c>
      <c r="H178" s="132">
        <v>2500.0</v>
      </c>
      <c r="I178" s="11"/>
      <c r="J178" s="11"/>
      <c r="K178" s="4" t="s">
        <v>78</v>
      </c>
      <c r="L178" s="4" t="s">
        <v>20</v>
      </c>
    </row>
    <row r="179">
      <c r="A179" s="3" t="s">
        <v>1231</v>
      </c>
      <c r="B179" s="3" t="s">
        <v>1209</v>
      </c>
      <c r="C179" s="4" t="s">
        <v>51</v>
      </c>
      <c r="D179" s="131" t="s">
        <v>1222</v>
      </c>
      <c r="E179" s="131" t="s">
        <v>389</v>
      </c>
      <c r="F179" s="26" t="s">
        <v>1102</v>
      </c>
      <c r="G179" s="26" t="s">
        <v>351</v>
      </c>
      <c r="H179" s="132">
        <v>2600.0</v>
      </c>
      <c r="I179" s="11"/>
      <c r="J179" s="11"/>
      <c r="K179" s="4" t="s">
        <v>1145</v>
      </c>
      <c r="L179" s="4" t="s">
        <v>20</v>
      </c>
    </row>
    <row r="180">
      <c r="A180" s="3" t="s">
        <v>1244</v>
      </c>
      <c r="B180" s="3" t="s">
        <v>1209</v>
      </c>
      <c r="C180" s="4" t="s">
        <v>70</v>
      </c>
      <c r="D180" s="131" t="s">
        <v>1222</v>
      </c>
      <c r="E180" s="131" t="s">
        <v>389</v>
      </c>
      <c r="F180" s="26" t="s">
        <v>1078</v>
      </c>
      <c r="G180" s="26" t="s">
        <v>36</v>
      </c>
      <c r="H180" s="132">
        <v>2400.0</v>
      </c>
      <c r="I180" s="3"/>
      <c r="J180" s="3"/>
      <c r="K180" s="4" t="s">
        <v>100</v>
      </c>
    </row>
    <row r="181">
      <c r="A181" s="3" t="s">
        <v>1246</v>
      </c>
      <c r="B181" s="3" t="s">
        <v>1209</v>
      </c>
      <c r="C181" s="4" t="s">
        <v>73</v>
      </c>
      <c r="D181" s="131" t="s">
        <v>1222</v>
      </c>
      <c r="E181" s="131" t="s">
        <v>389</v>
      </c>
      <c r="F181" s="26" t="s">
        <v>1078</v>
      </c>
      <c r="G181" s="26" t="s">
        <v>36</v>
      </c>
      <c r="H181" s="132">
        <v>2700.0</v>
      </c>
      <c r="I181" s="3"/>
      <c r="J181" s="3"/>
      <c r="K181" s="4" t="s">
        <v>78</v>
      </c>
    </row>
    <row r="182">
      <c r="A182" s="3" t="s">
        <v>1248</v>
      </c>
      <c r="B182" s="3" t="s">
        <v>1209</v>
      </c>
      <c r="C182" s="4" t="s">
        <v>77</v>
      </c>
      <c r="D182" s="131" t="s">
        <v>1222</v>
      </c>
      <c r="E182" s="131" t="s">
        <v>389</v>
      </c>
      <c r="F182" s="26" t="s">
        <v>1078</v>
      </c>
      <c r="G182" s="26" t="s">
        <v>506</v>
      </c>
      <c r="H182" s="132">
        <v>2000.0</v>
      </c>
      <c r="I182" s="3"/>
      <c r="J182" s="3"/>
      <c r="K182" s="4" t="s">
        <v>1145</v>
      </c>
    </row>
    <row r="183">
      <c r="A183" s="3" t="s">
        <v>1250</v>
      </c>
      <c r="B183" s="3" t="s">
        <v>1209</v>
      </c>
      <c r="C183" s="4" t="s">
        <v>82</v>
      </c>
      <c r="D183" s="131" t="s">
        <v>1222</v>
      </c>
      <c r="E183" s="131" t="s">
        <v>389</v>
      </c>
      <c r="F183" s="26" t="s">
        <v>758</v>
      </c>
      <c r="G183" s="26" t="s">
        <v>506</v>
      </c>
      <c r="H183" s="132">
        <v>2300.0</v>
      </c>
      <c r="I183" s="3"/>
      <c r="J183" s="3"/>
      <c r="K183" s="4" t="s">
        <v>782</v>
      </c>
    </row>
    <row r="184">
      <c r="A184" s="3" t="s">
        <v>1252</v>
      </c>
      <c r="B184" s="3" t="s">
        <v>1209</v>
      </c>
      <c r="C184" s="4" t="s">
        <v>85</v>
      </c>
      <c r="D184" s="131" t="s">
        <v>1222</v>
      </c>
      <c r="E184" s="131" t="s">
        <v>389</v>
      </c>
      <c r="F184" s="26" t="s">
        <v>758</v>
      </c>
      <c r="G184" s="26" t="s">
        <v>506</v>
      </c>
      <c r="H184" s="132">
        <v>2200.0</v>
      </c>
      <c r="I184" s="3"/>
      <c r="J184" s="3"/>
      <c r="K184" s="4" t="s">
        <v>793</v>
      </c>
    </row>
    <row r="185">
      <c r="A185" s="3" t="s">
        <v>1254</v>
      </c>
      <c r="B185" s="3" t="s">
        <v>1209</v>
      </c>
      <c r="C185" s="4" t="s">
        <v>90</v>
      </c>
      <c r="D185" s="131" t="s">
        <v>1222</v>
      </c>
      <c r="E185" s="131" t="s">
        <v>389</v>
      </c>
      <c r="F185" s="26" t="s">
        <v>1078</v>
      </c>
      <c r="G185" s="26" t="s">
        <v>506</v>
      </c>
      <c r="H185" s="132">
        <v>2000.0</v>
      </c>
      <c r="I185" s="3"/>
      <c r="J185" s="3"/>
      <c r="K185" s="4" t="s">
        <v>796</v>
      </c>
    </row>
    <row r="186">
      <c r="A186" s="3" t="s">
        <v>1256</v>
      </c>
      <c r="B186" s="3" t="s">
        <v>1209</v>
      </c>
      <c r="C186" s="4" t="s">
        <v>93</v>
      </c>
      <c r="D186" s="131" t="s">
        <v>1222</v>
      </c>
      <c r="E186" s="131" t="s">
        <v>389</v>
      </c>
      <c r="F186" s="26" t="s">
        <v>1078</v>
      </c>
      <c r="G186" s="26" t="s">
        <v>36</v>
      </c>
      <c r="H186" s="132">
        <v>2400.0</v>
      </c>
      <c r="I186" s="3"/>
      <c r="J186" s="3"/>
      <c r="K186" s="4" t="s">
        <v>799</v>
      </c>
    </row>
    <row r="187">
      <c r="A187" s="3" t="s">
        <v>1270</v>
      </c>
      <c r="B187" s="3" t="s">
        <v>1209</v>
      </c>
      <c r="C187" s="4" t="s">
        <v>113</v>
      </c>
      <c r="D187" s="131" t="s">
        <v>1222</v>
      </c>
      <c r="E187" s="131" t="s">
        <v>389</v>
      </c>
      <c r="F187" s="26" t="s">
        <v>1271</v>
      </c>
      <c r="G187" s="26" t="s">
        <v>351</v>
      </c>
      <c r="H187" s="132">
        <v>2100.0</v>
      </c>
      <c r="I187" s="3"/>
      <c r="J187" s="3"/>
      <c r="K187" s="4" t="s">
        <v>100</v>
      </c>
      <c r="L187" s="4" t="s">
        <v>20</v>
      </c>
    </row>
    <row r="188">
      <c r="A188" s="3" t="s">
        <v>1273</v>
      </c>
      <c r="B188" s="3" t="s">
        <v>1209</v>
      </c>
      <c r="C188" s="4" t="s">
        <v>117</v>
      </c>
      <c r="D188" s="131" t="s">
        <v>1222</v>
      </c>
      <c r="E188" s="131" t="s">
        <v>389</v>
      </c>
      <c r="F188" s="26" t="s">
        <v>1023</v>
      </c>
      <c r="G188" s="26" t="s">
        <v>351</v>
      </c>
      <c r="H188" s="132">
        <v>2000.0</v>
      </c>
      <c r="I188" s="3"/>
      <c r="J188" s="3"/>
      <c r="K188" s="4" t="s">
        <v>1145</v>
      </c>
      <c r="L188" s="4" t="s">
        <v>20</v>
      </c>
    </row>
    <row r="189">
      <c r="A189" s="3" t="s">
        <v>1275</v>
      </c>
      <c r="B189" s="3" t="s">
        <v>1209</v>
      </c>
      <c r="C189" s="4" t="s">
        <v>120</v>
      </c>
      <c r="D189" s="131" t="s">
        <v>1222</v>
      </c>
      <c r="E189" s="131" t="s">
        <v>389</v>
      </c>
      <c r="F189" s="26" t="s">
        <v>1276</v>
      </c>
      <c r="G189" s="26" t="s">
        <v>74</v>
      </c>
      <c r="H189" s="132">
        <v>2200.0</v>
      </c>
      <c r="I189" s="3"/>
      <c r="J189" s="3"/>
      <c r="K189" s="4" t="s">
        <v>67</v>
      </c>
      <c r="L189" s="4" t="s">
        <v>20</v>
      </c>
    </row>
    <row r="190">
      <c r="A190" s="3" t="s">
        <v>1299</v>
      </c>
      <c r="B190" s="3" t="s">
        <v>1209</v>
      </c>
      <c r="C190" s="4" t="s">
        <v>150</v>
      </c>
      <c r="D190" s="131" t="s">
        <v>1222</v>
      </c>
      <c r="E190" s="131" t="s">
        <v>389</v>
      </c>
      <c r="F190" s="26" t="s">
        <v>1023</v>
      </c>
      <c r="G190" s="26" t="s">
        <v>1300</v>
      </c>
      <c r="H190" s="132">
        <v>2000.0</v>
      </c>
      <c r="I190" s="11"/>
      <c r="J190" s="11"/>
      <c r="K190" s="4" t="s">
        <v>19</v>
      </c>
      <c r="L190" s="4" t="s">
        <v>254</v>
      </c>
    </row>
    <row r="191">
      <c r="A191" s="3" t="s">
        <v>1302</v>
      </c>
      <c r="B191" s="3" t="s">
        <v>1209</v>
      </c>
      <c r="C191" s="4" t="s">
        <v>154</v>
      </c>
      <c r="D191" s="131" t="s">
        <v>1222</v>
      </c>
      <c r="E191" s="131" t="s">
        <v>389</v>
      </c>
      <c r="F191" s="26" t="s">
        <v>1215</v>
      </c>
      <c r="G191" s="26" t="s">
        <v>1303</v>
      </c>
      <c r="H191" s="132">
        <v>2100.0</v>
      </c>
      <c r="I191" s="11"/>
      <c r="J191" s="11"/>
      <c r="K191" s="4" t="s">
        <v>100</v>
      </c>
      <c r="L191" s="4" t="s">
        <v>20</v>
      </c>
    </row>
    <row r="192">
      <c r="A192" s="3" t="s">
        <v>1305</v>
      </c>
      <c r="B192" s="3" t="s">
        <v>1209</v>
      </c>
      <c r="C192" s="4" t="s">
        <v>159</v>
      </c>
      <c r="D192" s="131" t="s">
        <v>1222</v>
      </c>
      <c r="E192" s="131" t="s">
        <v>389</v>
      </c>
      <c r="F192" s="26" t="s">
        <v>1306</v>
      </c>
      <c r="G192" s="26" t="s">
        <v>1050</v>
      </c>
      <c r="H192" s="132">
        <v>2000.0</v>
      </c>
      <c r="I192" s="11">
        <f>average(H176:H192)</f>
        <v>2270.588235</v>
      </c>
      <c r="J192" s="11"/>
      <c r="K192" s="4" t="s">
        <v>1145</v>
      </c>
      <c r="L192" s="4" t="s">
        <v>20</v>
      </c>
    </row>
    <row r="193">
      <c r="A193" s="3" t="s">
        <v>1213</v>
      </c>
      <c r="B193" s="3" t="s">
        <v>1209</v>
      </c>
      <c r="C193" s="4" t="s">
        <v>23</v>
      </c>
      <c r="D193" s="114" t="s">
        <v>1214</v>
      </c>
      <c r="E193" s="114" t="s">
        <v>48</v>
      </c>
      <c r="F193" s="115" t="s">
        <v>1215</v>
      </c>
      <c r="G193" s="115" t="s">
        <v>166</v>
      </c>
      <c r="H193" s="116">
        <v>3000.0</v>
      </c>
      <c r="I193" s="3" t="s">
        <v>2096</v>
      </c>
      <c r="J193" s="11"/>
      <c r="K193" s="4" t="s">
        <v>100</v>
      </c>
      <c r="L193" s="4" t="s">
        <v>20</v>
      </c>
    </row>
    <row r="194">
      <c r="A194" s="1" t="s">
        <v>0</v>
      </c>
      <c r="B194" s="1" t="s">
        <v>1</v>
      </c>
      <c r="C194" s="2" t="s">
        <v>2</v>
      </c>
      <c r="D194" s="2" t="s">
        <v>3</v>
      </c>
      <c r="E194" s="2" t="s">
        <v>4</v>
      </c>
      <c r="F194" s="1" t="s">
        <v>1350</v>
      </c>
      <c r="G194" s="1" t="s">
        <v>6</v>
      </c>
      <c r="H194" s="1" t="s">
        <v>2097</v>
      </c>
      <c r="I194" s="1"/>
      <c r="J194" s="1"/>
      <c r="K194" s="2" t="s">
        <v>8</v>
      </c>
      <c r="L194" s="2" t="s">
        <v>9</v>
      </c>
    </row>
    <row r="195">
      <c r="A195" s="3" t="s">
        <v>849</v>
      </c>
      <c r="B195" s="3" t="s">
        <v>13</v>
      </c>
      <c r="C195" s="4" t="s">
        <v>173</v>
      </c>
      <c r="F195" s="11"/>
      <c r="G195" s="11"/>
      <c r="H195" s="41"/>
      <c r="I195" s="11"/>
      <c r="J195" s="11"/>
      <c r="K195" s="4" t="s">
        <v>786</v>
      </c>
      <c r="L195" s="4"/>
    </row>
    <row r="196">
      <c r="A196" s="11"/>
      <c r="B196" s="3" t="s">
        <v>13</v>
      </c>
      <c r="C196" s="4" t="s">
        <v>177</v>
      </c>
      <c r="F196" s="11"/>
      <c r="G196" s="11"/>
      <c r="H196" s="41"/>
      <c r="I196" s="11"/>
      <c r="J196" s="11"/>
      <c r="K196" s="4" t="s">
        <v>786</v>
      </c>
      <c r="L196" s="4"/>
    </row>
    <row r="197">
      <c r="A197" s="3" t="s">
        <v>1043</v>
      </c>
      <c r="B197" s="11"/>
      <c r="F197" s="11"/>
      <c r="G197" s="11"/>
      <c r="H197" s="153"/>
      <c r="I197" s="11"/>
      <c r="J197" s="11"/>
    </row>
    <row r="198">
      <c r="A198" s="3" t="s">
        <v>1074</v>
      </c>
      <c r="B198" s="11"/>
      <c r="F198" s="11"/>
      <c r="G198" s="11"/>
      <c r="H198" s="11"/>
      <c r="I198" s="11"/>
      <c r="J198" s="11"/>
    </row>
    <row r="199">
      <c r="A199" s="3" t="s">
        <v>1089</v>
      </c>
      <c r="B199" s="11"/>
      <c r="F199" s="11"/>
      <c r="G199" s="11"/>
      <c r="H199" s="11"/>
      <c r="I199" s="11"/>
      <c r="J199" s="11"/>
      <c r="K199" s="4" t="s">
        <v>37</v>
      </c>
      <c r="L199" s="18" t="s">
        <v>20</v>
      </c>
    </row>
    <row r="200">
      <c r="A200" s="3" t="s">
        <v>1129</v>
      </c>
      <c r="B200" s="11"/>
      <c r="F200" s="11"/>
      <c r="G200" s="11"/>
      <c r="H200" s="11"/>
      <c r="I200" s="11"/>
      <c r="J200" s="11"/>
    </row>
    <row r="201">
      <c r="A201" s="3" t="s">
        <v>1170</v>
      </c>
      <c r="B201" s="11"/>
      <c r="F201" s="11"/>
      <c r="G201" s="11"/>
      <c r="H201" s="11"/>
      <c r="I201" s="11"/>
      <c r="J201" s="11"/>
    </row>
    <row r="202">
      <c r="A202" s="3" t="s">
        <v>1171</v>
      </c>
      <c r="B202" s="11"/>
      <c r="F202" s="11"/>
      <c r="G202" s="11"/>
      <c r="H202" s="11"/>
      <c r="I202" s="11"/>
      <c r="J202" s="11"/>
    </row>
    <row r="203">
      <c r="A203" s="3" t="s">
        <v>1203</v>
      </c>
      <c r="B203" s="11"/>
      <c r="F203" s="11"/>
      <c r="G203" s="11"/>
      <c r="H203" s="11"/>
      <c r="I203" s="11"/>
      <c r="J203" s="11"/>
    </row>
    <row r="204">
      <c r="A204" s="3" t="s">
        <v>1205</v>
      </c>
      <c r="B204" s="11"/>
      <c r="F204" s="11"/>
      <c r="G204" s="11"/>
      <c r="H204" s="11"/>
      <c r="I204" s="11"/>
      <c r="J204" s="11"/>
    </row>
    <row r="205">
      <c r="A205" s="3" t="s">
        <v>1206</v>
      </c>
      <c r="B205" s="11"/>
    </row>
    <row r="206">
      <c r="A206" s="3" t="s">
        <v>1293</v>
      </c>
      <c r="B206" s="11"/>
    </row>
    <row r="207">
      <c r="B207" s="11"/>
    </row>
    <row r="208">
      <c r="B208" s="11"/>
    </row>
    <row r="209">
      <c r="B209" s="11"/>
    </row>
    <row r="210">
      <c r="B210" s="3" t="s">
        <v>2098</v>
      </c>
      <c r="C210" s="4" t="s">
        <v>2099</v>
      </c>
    </row>
    <row r="211">
      <c r="B211" s="123" t="s">
        <v>2100</v>
      </c>
      <c r="C211" s="124">
        <v>3200.0</v>
      </c>
    </row>
    <row r="212">
      <c r="B212" s="120" t="s">
        <v>2101</v>
      </c>
      <c r="C212" s="121">
        <v>2400.0</v>
      </c>
    </row>
    <row r="213">
      <c r="B213" s="120"/>
      <c r="C213" s="121">
        <v>2200.0</v>
      </c>
    </row>
    <row r="214">
      <c r="B214" s="154" t="s">
        <v>2102</v>
      </c>
      <c r="C214" s="119">
        <v>1900.0</v>
      </c>
    </row>
    <row r="215">
      <c r="B215" s="155"/>
      <c r="C215" s="119">
        <v>1700.0</v>
      </c>
    </row>
    <row r="216">
      <c r="B216" s="115" t="s">
        <v>2103</v>
      </c>
      <c r="C216" s="116">
        <v>1600.0</v>
      </c>
    </row>
    <row r="217">
      <c r="B217" s="115"/>
      <c r="C217" s="116">
        <v>1500.0</v>
      </c>
    </row>
    <row r="218">
      <c r="B218" s="115"/>
      <c r="C218" s="116">
        <v>1500.0</v>
      </c>
    </row>
    <row r="219">
      <c r="B219" s="115"/>
      <c r="C219" s="116">
        <v>2300.0</v>
      </c>
    </row>
    <row r="220">
      <c r="B220" s="115"/>
      <c r="C220" s="116">
        <v>2000.0</v>
      </c>
    </row>
    <row r="221">
      <c r="B221" s="115"/>
      <c r="C221" s="116">
        <v>1700.0</v>
      </c>
    </row>
    <row r="222">
      <c r="B222" s="115"/>
      <c r="C222" s="116">
        <v>1600.0</v>
      </c>
    </row>
    <row r="223">
      <c r="B223" s="115"/>
      <c r="C223" s="116">
        <v>1600.0</v>
      </c>
    </row>
    <row r="224">
      <c r="B224" s="115"/>
      <c r="C224" s="116">
        <v>2000.0</v>
      </c>
    </row>
    <row r="225">
      <c r="B225" s="111" t="s">
        <v>2104</v>
      </c>
      <c r="C225" s="112">
        <v>1600.0</v>
      </c>
    </row>
    <row r="226">
      <c r="B226" s="111"/>
      <c r="C226" s="112">
        <v>1600.0</v>
      </c>
    </row>
    <row r="227">
      <c r="B227" s="111"/>
      <c r="C227" s="112">
        <v>1600.0</v>
      </c>
    </row>
    <row r="228">
      <c r="B228" s="111"/>
      <c r="C228" s="112">
        <v>1800.0</v>
      </c>
    </row>
    <row r="229">
      <c r="B229" s="107" t="s">
        <v>2105</v>
      </c>
      <c r="C229" s="108">
        <v>2100.0</v>
      </c>
    </row>
    <row r="230">
      <c r="B230" s="107"/>
      <c r="C230" s="108">
        <v>2100.0</v>
      </c>
    </row>
    <row r="231">
      <c r="B231" s="107"/>
      <c r="C231" s="108">
        <v>2000.0</v>
      </c>
    </row>
    <row r="232">
      <c r="B232" s="107"/>
      <c r="C232" s="108">
        <v>1600.0</v>
      </c>
    </row>
    <row r="233">
      <c r="B233" s="107"/>
      <c r="C233" s="108">
        <v>1800.0</v>
      </c>
    </row>
    <row r="234">
      <c r="B234" s="107"/>
      <c r="C234" s="108">
        <v>2000.0</v>
      </c>
    </row>
    <row r="235">
      <c r="B235" s="107"/>
      <c r="C235" s="108">
        <v>1700.0</v>
      </c>
    </row>
    <row r="236">
      <c r="B236" s="107"/>
      <c r="C236" s="108">
        <v>1800.0</v>
      </c>
    </row>
    <row r="237">
      <c r="B237" s="126" t="s">
        <v>2106</v>
      </c>
      <c r="C237" s="127">
        <v>1900.0</v>
      </c>
    </row>
    <row r="238">
      <c r="B238" s="126"/>
      <c r="C238" s="127">
        <v>2000.0</v>
      </c>
    </row>
    <row r="239">
      <c r="B239" s="126"/>
      <c r="C239" s="127">
        <v>1700.0</v>
      </c>
    </row>
    <row r="240">
      <c r="B240" s="126"/>
      <c r="C240" s="127">
        <v>1500.0</v>
      </c>
    </row>
    <row r="241">
      <c r="B241" s="156" t="s">
        <v>2107</v>
      </c>
      <c r="C241" s="116">
        <v>2900.0</v>
      </c>
    </row>
    <row r="242">
      <c r="B242" s="157" t="s">
        <v>2108</v>
      </c>
      <c r="C242" s="158">
        <v>2000.0</v>
      </c>
    </row>
    <row r="243">
      <c r="B243" s="26" t="s">
        <v>2109</v>
      </c>
      <c r="C243" s="132">
        <v>1500.0</v>
      </c>
    </row>
    <row r="244">
      <c r="B244" s="26"/>
      <c r="C244" s="132">
        <v>2000.0</v>
      </c>
    </row>
    <row r="245">
      <c r="B245" s="26"/>
      <c r="C245" s="132">
        <v>3200.0</v>
      </c>
    </row>
    <row r="246">
      <c r="B246" s="135" t="s">
        <v>2110</v>
      </c>
      <c r="C246" s="136">
        <v>2700.0</v>
      </c>
    </row>
    <row r="247">
      <c r="B247" s="138" t="s">
        <v>2111</v>
      </c>
      <c r="C247" s="139">
        <v>3000.0</v>
      </c>
    </row>
    <row r="248">
      <c r="B248" s="138"/>
      <c r="C248" s="139">
        <v>2300.0</v>
      </c>
    </row>
    <row r="249">
      <c r="B249" s="138"/>
      <c r="C249" s="139">
        <v>1900.0</v>
      </c>
    </row>
    <row r="250">
      <c r="B250" s="138"/>
      <c r="C250" s="139">
        <v>1500.0</v>
      </c>
    </row>
    <row r="251">
      <c r="B251" s="138"/>
      <c r="C251" s="139">
        <v>3000.0</v>
      </c>
    </row>
    <row r="252">
      <c r="B252" s="138"/>
      <c r="C252" s="139">
        <v>2200.0</v>
      </c>
    </row>
    <row r="253">
      <c r="B253" s="138"/>
      <c r="C253" s="139">
        <v>2000.0</v>
      </c>
    </row>
    <row r="254">
      <c r="B254" s="138"/>
      <c r="C254" s="139">
        <v>1500.0</v>
      </c>
    </row>
    <row r="255">
      <c r="B255" s="130" t="s">
        <v>2112</v>
      </c>
      <c r="C255" s="141">
        <v>2000.0</v>
      </c>
    </row>
    <row r="256">
      <c r="B256" s="130"/>
      <c r="C256" s="141">
        <v>2000.0</v>
      </c>
    </row>
    <row r="257">
      <c r="B257" s="130"/>
      <c r="C257" s="141">
        <v>3000.0</v>
      </c>
    </row>
    <row r="258">
      <c r="B258" s="130"/>
      <c r="C258" s="141">
        <v>3300.0</v>
      </c>
    </row>
    <row r="259">
      <c r="B259" s="130"/>
      <c r="C259" s="141">
        <v>3000.0</v>
      </c>
    </row>
    <row r="260">
      <c r="B260" s="130"/>
      <c r="C260" s="141">
        <v>2700.0</v>
      </c>
    </row>
    <row r="261">
      <c r="B261" s="130"/>
      <c r="C261" s="141">
        <v>3000.0</v>
      </c>
    </row>
    <row r="262">
      <c r="B262" s="130"/>
      <c r="C262" s="141">
        <v>2300.0</v>
      </c>
    </row>
    <row r="263">
      <c r="B263" s="143" t="s">
        <v>2113</v>
      </c>
      <c r="C263" s="144">
        <v>1700.0</v>
      </c>
    </row>
    <row r="264">
      <c r="B264" s="146" t="s">
        <v>2114</v>
      </c>
      <c r="C264" s="147">
        <v>2700.0</v>
      </c>
    </row>
    <row r="265">
      <c r="B265" s="146"/>
      <c r="C265" s="147">
        <v>1500.0</v>
      </c>
    </row>
    <row r="266">
      <c r="B266" s="126" t="s">
        <v>2115</v>
      </c>
      <c r="C266" s="148" t="s">
        <v>2092</v>
      </c>
    </row>
    <row r="267">
      <c r="B267" s="126"/>
      <c r="C267" s="127">
        <v>1800.0</v>
      </c>
    </row>
    <row r="268">
      <c r="B268" s="126"/>
      <c r="C268" s="127">
        <v>2000.0</v>
      </c>
    </row>
    <row r="269">
      <c r="B269" s="126"/>
      <c r="C269" s="127">
        <v>1800.0</v>
      </c>
    </row>
    <row r="270">
      <c r="B270" s="126"/>
      <c r="C270" s="127">
        <v>2200.0</v>
      </c>
    </row>
    <row r="271">
      <c r="B271" s="126"/>
      <c r="C271" s="127">
        <v>2000.0</v>
      </c>
    </row>
    <row r="272">
      <c r="B272" s="126"/>
      <c r="C272" s="127">
        <v>2000.0</v>
      </c>
    </row>
    <row r="273">
      <c r="B273" s="126"/>
      <c r="C273" s="127">
        <v>2000.0</v>
      </c>
    </row>
    <row r="274">
      <c r="B274" s="126"/>
      <c r="C274" s="127">
        <v>1900.0</v>
      </c>
    </row>
    <row r="275">
      <c r="B275" s="126"/>
      <c r="C275" s="127">
        <v>2000.0</v>
      </c>
    </row>
    <row r="276">
      <c r="B276" s="126"/>
      <c r="C276" s="125">
        <v>2000.0</v>
      </c>
    </row>
    <row r="277">
      <c r="B277" s="126"/>
      <c r="C277" s="127">
        <v>2000.0</v>
      </c>
    </row>
    <row r="278">
      <c r="B278" s="118" t="s">
        <v>2116</v>
      </c>
      <c r="C278" s="119">
        <v>1900.0</v>
      </c>
    </row>
    <row r="279">
      <c r="B279" s="138" t="s">
        <v>2117</v>
      </c>
      <c r="C279" s="139">
        <v>1900.0</v>
      </c>
    </row>
    <row r="280">
      <c r="B280" s="138"/>
      <c r="C280" s="139">
        <v>2100.0</v>
      </c>
    </row>
    <row r="281">
      <c r="B281" s="115"/>
      <c r="C281" s="116">
        <v>2000.0</v>
      </c>
    </row>
    <row r="282">
      <c r="B282" s="120" t="s">
        <v>2118</v>
      </c>
      <c r="C282" s="121">
        <v>1900.0</v>
      </c>
    </row>
    <row r="283">
      <c r="B283" s="120"/>
      <c r="C283" s="121">
        <v>2200.0</v>
      </c>
    </row>
    <row r="284">
      <c r="B284" s="120"/>
      <c r="C284" s="101">
        <v>2000.0</v>
      </c>
    </row>
    <row r="285">
      <c r="B285" s="120"/>
      <c r="C285" s="121">
        <v>1900.0</v>
      </c>
    </row>
    <row r="286">
      <c r="B286" s="120"/>
      <c r="C286" s="121">
        <v>2000.0</v>
      </c>
    </row>
    <row r="287">
      <c r="B287" s="120"/>
      <c r="C287" s="121">
        <v>1900.0</v>
      </c>
    </row>
    <row r="288">
      <c r="B288" s="120"/>
      <c r="C288" s="121">
        <v>2200.0</v>
      </c>
    </row>
    <row r="289">
      <c r="B289" s="130" t="s">
        <v>2119</v>
      </c>
      <c r="C289" s="141">
        <v>2000.0</v>
      </c>
    </row>
    <row r="290">
      <c r="B290" s="130"/>
      <c r="C290" s="141">
        <v>2000.0</v>
      </c>
    </row>
    <row r="291">
      <c r="B291" s="135" t="s">
        <v>2120</v>
      </c>
      <c r="C291" s="136">
        <v>2300.0</v>
      </c>
    </row>
    <row r="292">
      <c r="B292" s="135"/>
      <c r="C292" s="136">
        <v>2000.0</v>
      </c>
    </row>
    <row r="293">
      <c r="B293" s="135"/>
      <c r="C293" s="136">
        <v>1900.0</v>
      </c>
    </row>
    <row r="294">
      <c r="B294" s="135"/>
      <c r="C294" s="136">
        <v>2000.0</v>
      </c>
    </row>
    <row r="295">
      <c r="B295" s="135"/>
      <c r="C295" s="136">
        <v>1800.0</v>
      </c>
    </row>
    <row r="296">
      <c r="B296" s="135"/>
      <c r="C296" s="136">
        <v>2300.0</v>
      </c>
    </row>
    <row r="297">
      <c r="B297" s="135"/>
      <c r="C297" s="136">
        <v>2000.0</v>
      </c>
    </row>
    <row r="298">
      <c r="B298" s="135"/>
      <c r="C298" s="136">
        <v>1900.0</v>
      </c>
    </row>
    <row r="299">
      <c r="B299" s="135"/>
      <c r="C299" s="136">
        <v>2100.0</v>
      </c>
    </row>
    <row r="300">
      <c r="B300" s="135"/>
      <c r="C300" s="136">
        <v>2000.0</v>
      </c>
    </row>
    <row r="301">
      <c r="B301" s="135"/>
      <c r="C301" s="136">
        <v>2000.0</v>
      </c>
    </row>
    <row r="302">
      <c r="B302" s="135"/>
      <c r="C302" s="136">
        <v>2000.0</v>
      </c>
    </row>
    <row r="303">
      <c r="B303" s="135"/>
      <c r="C303" s="136">
        <v>2000.0</v>
      </c>
    </row>
    <row r="304">
      <c r="B304" s="135"/>
      <c r="C304" s="136">
        <v>2200.0</v>
      </c>
    </row>
    <row r="305">
      <c r="B305" s="135"/>
      <c r="C305" s="136">
        <v>2300.0</v>
      </c>
    </row>
    <row r="306">
      <c r="B306" s="135"/>
      <c r="C306" s="136">
        <v>1800.0</v>
      </c>
    </row>
    <row r="307">
      <c r="B307" s="135"/>
      <c r="C307" s="136">
        <v>1300.0</v>
      </c>
    </row>
    <row r="308">
      <c r="B308" s="135"/>
      <c r="C308" s="136">
        <v>1400.0</v>
      </c>
    </row>
    <row r="309">
      <c r="B309" s="135"/>
      <c r="C309" s="136">
        <v>2200.0</v>
      </c>
    </row>
    <row r="310">
      <c r="B310" s="146" t="s">
        <v>2121</v>
      </c>
      <c r="C310" s="147">
        <v>2100.0</v>
      </c>
    </row>
    <row r="311">
      <c r="B311" s="26" t="s">
        <v>2122</v>
      </c>
      <c r="C311" s="132">
        <v>2100.0</v>
      </c>
    </row>
    <row r="312">
      <c r="B312" s="26"/>
      <c r="C312" s="132">
        <v>2100.0</v>
      </c>
    </row>
    <row r="313">
      <c r="B313" s="26"/>
      <c r="C313" s="132">
        <v>1700.0</v>
      </c>
    </row>
    <row r="314">
      <c r="B314" s="120" t="s">
        <v>2123</v>
      </c>
      <c r="C314" s="121">
        <v>2000.0</v>
      </c>
    </row>
    <row r="315">
      <c r="B315" s="120"/>
      <c r="C315" s="121">
        <v>1700.0</v>
      </c>
    </row>
    <row r="316">
      <c r="B316" s="120"/>
      <c r="C316" s="121">
        <v>3200.0</v>
      </c>
    </row>
    <row r="317">
      <c r="B317" s="120"/>
      <c r="C317" s="121">
        <v>2000.0</v>
      </c>
    </row>
    <row r="318">
      <c r="B318" s="120"/>
      <c r="C318" s="121">
        <v>2500.0</v>
      </c>
    </row>
    <row r="319">
      <c r="B319" s="120"/>
      <c r="C319" s="121">
        <v>2500.0</v>
      </c>
    </row>
    <row r="320">
      <c r="B320" s="120"/>
      <c r="C320" s="121">
        <v>2000.0</v>
      </c>
    </row>
    <row r="321">
      <c r="B321" s="120"/>
      <c r="C321" s="121">
        <v>2000.0</v>
      </c>
    </row>
    <row r="322">
      <c r="B322" s="120"/>
      <c r="C322" s="121">
        <v>2600.0</v>
      </c>
    </row>
    <row r="323">
      <c r="B323" s="120"/>
      <c r="C323" s="121">
        <v>2200.0</v>
      </c>
    </row>
    <row r="324">
      <c r="B324" s="120"/>
      <c r="C324" s="121">
        <v>2400.0</v>
      </c>
    </row>
    <row r="325">
      <c r="B325" s="120"/>
      <c r="C325" s="120" t="s">
        <v>2092</v>
      </c>
    </row>
    <row r="326">
      <c r="B326" s="120"/>
      <c r="C326" s="121">
        <v>2200.0</v>
      </c>
    </row>
    <row r="327">
      <c r="B327" s="120"/>
      <c r="C327" s="121">
        <v>2500.0</v>
      </c>
    </row>
    <row r="328">
      <c r="B328" s="120"/>
      <c r="C328" s="121">
        <v>2500.0</v>
      </c>
    </row>
    <row r="329">
      <c r="B329" s="120"/>
      <c r="C329" s="121">
        <v>2300.0</v>
      </c>
    </row>
    <row r="330">
      <c r="B330" s="120"/>
      <c r="C330" s="121">
        <v>2300.0</v>
      </c>
    </row>
    <row r="331">
      <c r="B331" s="120"/>
      <c r="C331" s="121">
        <v>2200.0</v>
      </c>
    </row>
    <row r="332">
      <c r="B332" s="120"/>
      <c r="C332" s="121">
        <v>2200.0</v>
      </c>
    </row>
    <row r="333">
      <c r="B333" s="120"/>
      <c r="C333" s="121">
        <v>2500.0</v>
      </c>
    </row>
    <row r="334">
      <c r="B334" s="120"/>
      <c r="C334" s="121">
        <v>2200.0</v>
      </c>
    </row>
    <row r="335">
      <c r="B335" s="120"/>
      <c r="C335" s="121">
        <v>2300.0</v>
      </c>
    </row>
    <row r="336">
      <c r="B336" s="120"/>
      <c r="C336" s="121">
        <v>2600.0</v>
      </c>
    </row>
    <row r="337">
      <c r="B337" s="120"/>
      <c r="C337" s="121">
        <v>1900.0</v>
      </c>
    </row>
    <row r="338">
      <c r="B338" s="120"/>
      <c r="C338" s="121">
        <v>1400.0</v>
      </c>
    </row>
    <row r="339">
      <c r="B339" s="120"/>
      <c r="C339" s="121">
        <v>2000.0</v>
      </c>
    </row>
    <row r="340">
      <c r="B340" s="120"/>
      <c r="C340" s="121">
        <v>2000.0</v>
      </c>
    </row>
    <row r="341">
      <c r="B341" s="120"/>
      <c r="C341" s="121">
        <v>1800.0</v>
      </c>
    </row>
    <row r="342">
      <c r="B342" s="120"/>
      <c r="C342" s="121">
        <v>1700.0</v>
      </c>
    </row>
    <row r="343">
      <c r="B343" s="120"/>
      <c r="C343" s="121">
        <v>2300.0</v>
      </c>
    </row>
    <row r="344">
      <c r="B344" s="120"/>
      <c r="C344" s="121">
        <v>1900.0</v>
      </c>
    </row>
    <row r="345">
      <c r="B345" s="146" t="s">
        <v>2124</v>
      </c>
      <c r="C345" s="147">
        <v>2200.0</v>
      </c>
    </row>
    <row r="346">
      <c r="B346" s="146"/>
      <c r="C346" s="147">
        <v>2500.0</v>
      </c>
    </row>
    <row r="347">
      <c r="B347" s="126" t="s">
        <v>2125</v>
      </c>
      <c r="C347" s="127">
        <v>1900.0</v>
      </c>
    </row>
    <row r="348">
      <c r="B348" s="126"/>
      <c r="C348" s="127">
        <v>1900.0</v>
      </c>
    </row>
    <row r="349">
      <c r="B349" s="126"/>
      <c r="C349" s="125">
        <v>1800.0</v>
      </c>
    </row>
    <row r="350">
      <c r="B350" s="115" t="s">
        <v>2126</v>
      </c>
      <c r="C350" s="116">
        <v>1700.0</v>
      </c>
    </row>
    <row r="351">
      <c r="B351" s="115"/>
      <c r="C351" s="116">
        <v>2000.0</v>
      </c>
    </row>
    <row r="352">
      <c r="B352" s="107" t="s">
        <v>2127</v>
      </c>
      <c r="C352" s="108">
        <v>3100.0</v>
      </c>
    </row>
    <row r="353">
      <c r="B353" s="107"/>
      <c r="C353" s="108">
        <v>2800.0</v>
      </c>
    </row>
    <row r="354">
      <c r="B354" s="107"/>
      <c r="C354" s="108">
        <v>2600.0</v>
      </c>
    </row>
    <row r="355">
      <c r="B355" s="107"/>
      <c r="C355" s="108">
        <v>1900.0</v>
      </c>
    </row>
    <row r="356">
      <c r="B356" s="107"/>
      <c r="C356" s="108">
        <v>1900.0</v>
      </c>
    </row>
    <row r="357">
      <c r="B357" s="107"/>
      <c r="C357" s="108">
        <v>2200.0</v>
      </c>
    </row>
    <row r="358">
      <c r="B358" s="107"/>
      <c r="C358" s="108">
        <v>2200.0</v>
      </c>
    </row>
    <row r="359">
      <c r="B359" s="115" t="s">
        <v>2128</v>
      </c>
      <c r="C359" s="116">
        <v>2200.0</v>
      </c>
    </row>
    <row r="360">
      <c r="B360" s="26" t="s">
        <v>2129</v>
      </c>
      <c r="C360" s="132">
        <v>2000.0</v>
      </c>
    </row>
    <row r="361">
      <c r="B361" s="111" t="s">
        <v>2130</v>
      </c>
      <c r="C361" s="112">
        <v>1800.0</v>
      </c>
    </row>
    <row r="362">
      <c r="B362" s="111"/>
      <c r="C362" s="112">
        <v>1900.0</v>
      </c>
    </row>
    <row r="363">
      <c r="B363" s="111"/>
      <c r="C363" s="112">
        <v>1900.0</v>
      </c>
    </row>
    <row r="364">
      <c r="B364" s="143" t="s">
        <v>2131</v>
      </c>
      <c r="C364" s="144">
        <v>2200.0</v>
      </c>
    </row>
    <row r="365">
      <c r="B365" s="143"/>
      <c r="C365" s="144">
        <v>2200.0</v>
      </c>
    </row>
    <row r="366">
      <c r="B366" s="143"/>
      <c r="C366" s="144">
        <v>2000.0</v>
      </c>
    </row>
    <row r="367">
      <c r="B367" s="143"/>
      <c r="C367" s="144">
        <v>2200.0</v>
      </c>
    </row>
    <row r="368">
      <c r="B368" s="26" t="s">
        <v>2132</v>
      </c>
      <c r="C368" s="132">
        <v>2500.0</v>
      </c>
    </row>
    <row r="369">
      <c r="B369" s="26"/>
      <c r="C369" s="132">
        <v>2600.0</v>
      </c>
    </row>
    <row r="370">
      <c r="B370" s="26"/>
      <c r="C370" s="132">
        <v>2500.0</v>
      </c>
    </row>
    <row r="371">
      <c r="B371" s="26"/>
      <c r="C371" s="132">
        <v>2600.0</v>
      </c>
    </row>
    <row r="372">
      <c r="B372" s="26"/>
      <c r="C372" s="132">
        <v>2400.0</v>
      </c>
    </row>
    <row r="373">
      <c r="B373" s="26"/>
      <c r="C373" s="132">
        <v>2700.0</v>
      </c>
    </row>
    <row r="374">
      <c r="B374" s="26"/>
      <c r="C374" s="132">
        <v>2000.0</v>
      </c>
    </row>
    <row r="375">
      <c r="B375" s="26"/>
      <c r="C375" s="132">
        <v>2300.0</v>
      </c>
    </row>
    <row r="376">
      <c r="B376" s="26"/>
      <c r="C376" s="132">
        <v>2200.0</v>
      </c>
    </row>
    <row r="377">
      <c r="B377" s="26"/>
      <c r="C377" s="132">
        <v>2000.0</v>
      </c>
    </row>
    <row r="378">
      <c r="B378" s="26"/>
      <c r="C378" s="132">
        <v>2400.0</v>
      </c>
    </row>
    <row r="379">
      <c r="B379" s="26"/>
      <c r="C379" s="132">
        <v>2100.0</v>
      </c>
    </row>
    <row r="380">
      <c r="B380" s="26"/>
      <c r="C380" s="132">
        <v>2000.0</v>
      </c>
    </row>
    <row r="381">
      <c r="B381" s="26"/>
      <c r="C381" s="132">
        <v>2200.0</v>
      </c>
    </row>
    <row r="382">
      <c r="B382" s="26"/>
      <c r="C382" s="132">
        <v>2000.0</v>
      </c>
    </row>
    <row r="383">
      <c r="B383" s="26"/>
      <c r="C383" s="132">
        <v>2100.0</v>
      </c>
    </row>
    <row r="384">
      <c r="B384" s="26"/>
      <c r="C384" s="132">
        <v>2000.0</v>
      </c>
    </row>
    <row r="385">
      <c r="B385" s="115" t="s">
        <v>2133</v>
      </c>
      <c r="C385" s="116">
        <v>3000.0</v>
      </c>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3"/>
    </row>
    <row r="437">
      <c r="B437" s="11"/>
    </row>
    <row r="438">
      <c r="A438" s="4" t="s">
        <v>2134</v>
      </c>
      <c r="B438" s="3" t="s">
        <v>2098</v>
      </c>
    </row>
    <row r="439">
      <c r="A439" s="4">
        <v>3200.0</v>
      </c>
      <c r="B439" s="3" t="s">
        <v>2100</v>
      </c>
      <c r="C439" s="4">
        <v>3200.0</v>
      </c>
    </row>
    <row r="440">
      <c r="A440" s="83">
        <f t="shared" ref="A440:A441" si="1">average(C440:D440)</f>
        <v>2300</v>
      </c>
      <c r="B440" s="3" t="s">
        <v>2101</v>
      </c>
      <c r="C440" s="4">
        <v>2400.0</v>
      </c>
      <c r="D440" s="4">
        <v>2200.0</v>
      </c>
    </row>
    <row r="441">
      <c r="A441" s="83">
        <f t="shared" si="1"/>
        <v>1800</v>
      </c>
      <c r="B441" s="3" t="s">
        <v>2102</v>
      </c>
      <c r="C441" s="4">
        <v>1900.0</v>
      </c>
      <c r="D441" s="4">
        <v>1700.0</v>
      </c>
    </row>
    <row r="442">
      <c r="B442" s="3" t="s">
        <v>2135</v>
      </c>
    </row>
    <row r="443">
      <c r="A443" s="83">
        <f>average(C443:O443)</f>
        <v>1723.076923</v>
      </c>
      <c r="B443" s="3" t="s">
        <v>2103</v>
      </c>
      <c r="C443" s="4">
        <v>1600.0</v>
      </c>
      <c r="D443" s="4">
        <v>1500.0</v>
      </c>
      <c r="E443" s="4">
        <v>1500.0</v>
      </c>
      <c r="F443" s="4">
        <v>2300.0</v>
      </c>
      <c r="G443" s="4">
        <v>2000.0</v>
      </c>
      <c r="H443" s="4">
        <v>1700.0</v>
      </c>
      <c r="I443" s="4">
        <v>1600.0</v>
      </c>
      <c r="J443" s="4">
        <v>1600.0</v>
      </c>
      <c r="K443" s="4">
        <v>2000.0</v>
      </c>
      <c r="L443" s="4">
        <v>1600.0</v>
      </c>
      <c r="M443" s="4">
        <v>1600.0</v>
      </c>
      <c r="N443" s="4">
        <v>1600.0</v>
      </c>
      <c r="O443" s="4">
        <v>1800.0</v>
      </c>
    </row>
    <row r="444">
      <c r="A444" s="83">
        <f>average(C444:J444)</f>
        <v>1887.5</v>
      </c>
      <c r="B444" s="3" t="s">
        <v>2105</v>
      </c>
      <c r="C444" s="4">
        <v>2100.0</v>
      </c>
      <c r="D444" s="4">
        <v>2100.0</v>
      </c>
      <c r="E444" s="4">
        <v>2000.0</v>
      </c>
      <c r="F444" s="4">
        <v>1600.0</v>
      </c>
      <c r="G444" s="4">
        <v>1800.0</v>
      </c>
      <c r="H444" s="4">
        <v>2000.0</v>
      </c>
      <c r="I444" s="4">
        <v>1700.0</v>
      </c>
      <c r="J444" s="4">
        <v>1800.0</v>
      </c>
    </row>
    <row r="445">
      <c r="B445" s="3" t="s">
        <v>2136</v>
      </c>
    </row>
    <row r="446">
      <c r="B446" s="3" t="s">
        <v>2137</v>
      </c>
    </row>
    <row r="447">
      <c r="B447" s="3" t="s">
        <v>2138</v>
      </c>
    </row>
    <row r="448">
      <c r="B448" s="3" t="s">
        <v>2139</v>
      </c>
    </row>
    <row r="449">
      <c r="A449" s="83">
        <f>average(C449:F449)</f>
        <v>1775</v>
      </c>
      <c r="B449" s="3" t="s">
        <v>2106</v>
      </c>
      <c r="C449" s="4">
        <v>1900.0</v>
      </c>
      <c r="D449" s="4">
        <v>2000.0</v>
      </c>
      <c r="E449" s="4">
        <v>1700.0</v>
      </c>
      <c r="F449" s="4">
        <v>1500.0</v>
      </c>
    </row>
    <row r="450">
      <c r="B450" s="3" t="s">
        <v>2140</v>
      </c>
    </row>
    <row r="451">
      <c r="A451" s="4">
        <v>2900.0</v>
      </c>
      <c r="B451" s="3" t="s">
        <v>2107</v>
      </c>
      <c r="C451" s="4">
        <v>2900.0</v>
      </c>
    </row>
    <row r="452">
      <c r="A452" s="83">
        <f>average(C452:F452)</f>
        <v>2175</v>
      </c>
      <c r="B452" s="3" t="s">
        <v>2109</v>
      </c>
      <c r="C452" s="4">
        <v>2000.0</v>
      </c>
      <c r="D452" s="4">
        <v>1500.0</v>
      </c>
      <c r="E452" s="4">
        <v>2000.0</v>
      </c>
      <c r="F452" s="4">
        <v>3200.0</v>
      </c>
    </row>
    <row r="453">
      <c r="A453" s="83">
        <f>average(C453)</f>
        <v>2700</v>
      </c>
      <c r="B453" s="3" t="s">
        <v>2110</v>
      </c>
      <c r="C453" s="4">
        <v>2700.0</v>
      </c>
    </row>
    <row r="454">
      <c r="A454" s="83">
        <f>average(C454:J454)</f>
        <v>2175</v>
      </c>
      <c r="B454" s="3" t="s">
        <v>2111</v>
      </c>
      <c r="C454" s="4">
        <v>3000.0</v>
      </c>
      <c r="D454" s="4">
        <v>2300.0</v>
      </c>
      <c r="E454" s="4">
        <v>1900.0</v>
      </c>
      <c r="F454" s="4">
        <v>1500.0</v>
      </c>
      <c r="G454" s="4">
        <v>3000.0</v>
      </c>
      <c r="H454" s="4">
        <v>2200.0</v>
      </c>
      <c r="I454" s="4">
        <v>2000.0</v>
      </c>
      <c r="J454" s="4">
        <v>1500.0</v>
      </c>
    </row>
    <row r="455">
      <c r="B455" s="3" t="s">
        <v>2141</v>
      </c>
    </row>
    <row r="456">
      <c r="B456" s="3" t="s">
        <v>2142</v>
      </c>
    </row>
    <row r="457">
      <c r="A457" s="83">
        <f>average(C457:J457)</f>
        <v>2537.5</v>
      </c>
      <c r="B457" s="3" t="s">
        <v>2112</v>
      </c>
      <c r="C457" s="4">
        <v>2000.0</v>
      </c>
      <c r="D457" s="4">
        <v>2000.0</v>
      </c>
      <c r="E457" s="4">
        <v>3000.0</v>
      </c>
      <c r="F457" s="4">
        <v>3300.0</v>
      </c>
      <c r="G457" s="4">
        <v>2000.0</v>
      </c>
      <c r="H457" s="4">
        <v>2700.0</v>
      </c>
      <c r="I457" s="4">
        <v>3000.0</v>
      </c>
      <c r="J457" s="4">
        <v>2300.0</v>
      </c>
    </row>
    <row r="458">
      <c r="A458" s="83">
        <f>average(C458)</f>
        <v>1700</v>
      </c>
      <c r="B458" s="3" t="s">
        <v>2113</v>
      </c>
      <c r="C458" s="4">
        <v>1700.0</v>
      </c>
    </row>
    <row r="459">
      <c r="A459" s="83">
        <f>average(C459:D459)</f>
        <v>2100</v>
      </c>
      <c r="B459" s="3" t="s">
        <v>2114</v>
      </c>
      <c r="C459" s="4">
        <v>2700.0</v>
      </c>
      <c r="D459" s="4">
        <v>1500.0</v>
      </c>
    </row>
    <row r="460">
      <c r="B460" s="3" t="s">
        <v>2143</v>
      </c>
    </row>
    <row r="461">
      <c r="B461" s="3" t="s">
        <v>2144</v>
      </c>
    </row>
    <row r="462">
      <c r="B462" s="3" t="s">
        <v>2145</v>
      </c>
    </row>
    <row r="463">
      <c r="B463" s="3" t="s">
        <v>2146</v>
      </c>
    </row>
    <row r="464">
      <c r="B464" s="3" t="s">
        <v>2147</v>
      </c>
    </row>
    <row r="465">
      <c r="B465" s="3" t="s">
        <v>2148</v>
      </c>
    </row>
    <row r="466">
      <c r="B466" s="3" t="s">
        <v>2149</v>
      </c>
    </row>
    <row r="467">
      <c r="B467" s="3" t="s">
        <v>2150</v>
      </c>
    </row>
    <row r="468">
      <c r="A468" s="83">
        <f>average(C468:N468)</f>
        <v>2016.666667</v>
      </c>
      <c r="B468" s="3" t="s">
        <v>2115</v>
      </c>
      <c r="C468" s="4">
        <v>2500.0</v>
      </c>
      <c r="D468" s="4">
        <v>1800.0</v>
      </c>
      <c r="E468" s="4">
        <v>2000.0</v>
      </c>
      <c r="F468" s="4">
        <v>1800.0</v>
      </c>
      <c r="G468" s="4">
        <v>2200.0</v>
      </c>
      <c r="H468" s="4">
        <v>2000.0</v>
      </c>
      <c r="I468" s="4">
        <v>2000.0</v>
      </c>
      <c r="J468" s="4">
        <v>2000.0</v>
      </c>
      <c r="K468" s="4">
        <v>1900.0</v>
      </c>
      <c r="L468" s="4">
        <v>2000.0</v>
      </c>
      <c r="M468" s="4">
        <v>2000.0</v>
      </c>
      <c r="N468" s="4">
        <v>2000.0</v>
      </c>
    </row>
    <row r="469">
      <c r="A469" s="4">
        <v>1900.0</v>
      </c>
      <c r="B469" s="3" t="s">
        <v>2151</v>
      </c>
      <c r="C469" s="4">
        <v>1900.0</v>
      </c>
    </row>
    <row r="470">
      <c r="A470" s="83">
        <f>average(C470:E470)</f>
        <v>2000</v>
      </c>
      <c r="B470" s="3" t="s">
        <v>2117</v>
      </c>
      <c r="C470" s="4">
        <v>1900.0</v>
      </c>
      <c r="D470" s="4">
        <v>2100.0</v>
      </c>
      <c r="E470" s="4">
        <v>2000.0</v>
      </c>
    </row>
    <row r="471">
      <c r="B471" s="3" t="s">
        <v>2152</v>
      </c>
    </row>
    <row r="472">
      <c r="A472" s="83">
        <f>average(C472:I472)</f>
        <v>2014.285714</v>
      </c>
      <c r="B472" s="3" t="s">
        <v>2118</v>
      </c>
      <c r="C472" s="4">
        <v>1900.0</v>
      </c>
      <c r="D472" s="4">
        <v>2200.0</v>
      </c>
      <c r="E472" s="4">
        <v>2000.0</v>
      </c>
      <c r="F472" s="4">
        <v>1900.0</v>
      </c>
      <c r="G472" s="4">
        <v>2000.0</v>
      </c>
      <c r="H472" s="4">
        <v>1900.0</v>
      </c>
      <c r="I472" s="4">
        <v>2200.0</v>
      </c>
    </row>
    <row r="473">
      <c r="B473" s="3" t="s">
        <v>2153</v>
      </c>
    </row>
    <row r="474">
      <c r="A474" s="83">
        <f>average(C474:D474)</f>
        <v>2000</v>
      </c>
      <c r="B474" s="3" t="s">
        <v>2154</v>
      </c>
      <c r="C474" s="4">
        <v>2000.0</v>
      </c>
      <c r="D474" s="4">
        <v>2000.0</v>
      </c>
    </row>
    <row r="475">
      <c r="A475" s="83">
        <f>average(C475:U475)</f>
        <v>1973.684211</v>
      </c>
      <c r="B475" s="3" t="s">
        <v>2120</v>
      </c>
      <c r="C475" s="4">
        <v>2300.0</v>
      </c>
      <c r="D475" s="4">
        <v>2000.0</v>
      </c>
      <c r="E475" s="4">
        <v>1900.0</v>
      </c>
      <c r="F475" s="4">
        <v>2000.0</v>
      </c>
      <c r="G475" s="4">
        <v>1800.0</v>
      </c>
      <c r="H475" s="4">
        <v>2300.0</v>
      </c>
      <c r="I475" s="4">
        <v>2000.0</v>
      </c>
      <c r="J475" s="4">
        <v>1900.0</v>
      </c>
      <c r="K475" s="4">
        <v>2100.0</v>
      </c>
      <c r="L475" s="4">
        <v>2000.0</v>
      </c>
      <c r="M475" s="4">
        <v>2000.0</v>
      </c>
      <c r="N475" s="4">
        <v>2000.0</v>
      </c>
      <c r="O475" s="4">
        <v>2000.0</v>
      </c>
      <c r="P475" s="4">
        <v>2200.0</v>
      </c>
      <c r="Q475" s="4">
        <v>2300.0</v>
      </c>
      <c r="R475" s="4">
        <v>1800.0</v>
      </c>
      <c r="S475" s="4">
        <v>1300.0</v>
      </c>
      <c r="T475" s="4">
        <v>1400.0</v>
      </c>
      <c r="U475" s="4">
        <v>2200.0</v>
      </c>
    </row>
    <row r="476">
      <c r="B476" s="3" t="s">
        <v>2155</v>
      </c>
    </row>
    <row r="477">
      <c r="B477" s="3" t="s">
        <v>2156</v>
      </c>
    </row>
    <row r="478">
      <c r="A478" s="83">
        <f>average(C478:F478)</f>
        <v>2000</v>
      </c>
      <c r="B478" s="3" t="s">
        <v>2122</v>
      </c>
      <c r="C478" s="4">
        <v>2100.0</v>
      </c>
      <c r="D478" s="4">
        <v>2100.0</v>
      </c>
      <c r="E478" s="4">
        <v>2100.0</v>
      </c>
      <c r="F478" s="4">
        <v>1700.0</v>
      </c>
    </row>
    <row r="479">
      <c r="B479" s="3" t="s">
        <v>2157</v>
      </c>
    </row>
    <row r="480">
      <c r="B480" s="3" t="s">
        <v>2158</v>
      </c>
    </row>
    <row r="481">
      <c r="A481" s="83">
        <f>average(C481:AG481)</f>
        <v>2206.451613</v>
      </c>
      <c r="B481" s="3" t="s">
        <v>2123</v>
      </c>
      <c r="C481" s="4">
        <v>2000.0</v>
      </c>
      <c r="D481" s="4">
        <v>1700.0</v>
      </c>
      <c r="E481" s="4">
        <v>3200.0</v>
      </c>
      <c r="F481" s="4">
        <v>2000.0</v>
      </c>
      <c r="G481" s="4">
        <v>2500.0</v>
      </c>
      <c r="H481" s="4">
        <v>2500.0</v>
      </c>
      <c r="I481" s="4">
        <v>2000.0</v>
      </c>
      <c r="J481" s="4">
        <v>2000.0</v>
      </c>
      <c r="K481" s="4">
        <v>2600.0</v>
      </c>
      <c r="L481" s="4">
        <v>2200.0</v>
      </c>
      <c r="M481" s="4">
        <v>2400.0</v>
      </c>
      <c r="N481" s="4">
        <v>2500.0</v>
      </c>
      <c r="O481" s="4">
        <v>2200.0</v>
      </c>
      <c r="P481" s="4">
        <v>2500.0</v>
      </c>
      <c r="Q481" s="4">
        <v>2500.0</v>
      </c>
      <c r="R481" s="4">
        <v>2300.0</v>
      </c>
      <c r="S481" s="4">
        <v>2300.0</v>
      </c>
      <c r="T481" s="4">
        <v>2200.0</v>
      </c>
      <c r="U481" s="4">
        <v>2200.0</v>
      </c>
      <c r="V481" s="4">
        <v>2500.0</v>
      </c>
      <c r="W481" s="4">
        <v>2200.0</v>
      </c>
      <c r="X481" s="4">
        <v>2300.0</v>
      </c>
      <c r="Y481" s="4">
        <v>2600.0</v>
      </c>
      <c r="Z481" s="4">
        <v>1900.0</v>
      </c>
      <c r="AA481" s="4">
        <v>1400.0</v>
      </c>
      <c r="AB481" s="4">
        <v>2000.0</v>
      </c>
      <c r="AC481" s="4">
        <v>2000.0</v>
      </c>
      <c r="AD481" s="4">
        <v>1800.0</v>
      </c>
      <c r="AE481" s="4">
        <v>1700.0</v>
      </c>
      <c r="AF481" s="4">
        <v>2300.0</v>
      </c>
      <c r="AG481" s="4">
        <v>1900.0</v>
      </c>
    </row>
    <row r="482">
      <c r="B482" s="3" t="s">
        <v>2159</v>
      </c>
    </row>
    <row r="483">
      <c r="B483" s="3" t="s">
        <v>2160</v>
      </c>
    </row>
    <row r="484">
      <c r="B484" s="3" t="s">
        <v>2161</v>
      </c>
    </row>
    <row r="485">
      <c r="B485" s="3" t="s">
        <v>2162</v>
      </c>
    </row>
    <row r="486">
      <c r="B486" s="3" t="s">
        <v>2163</v>
      </c>
    </row>
    <row r="487">
      <c r="B487" s="3" t="s">
        <v>2164</v>
      </c>
    </row>
    <row r="488">
      <c r="B488" s="3" t="s">
        <v>2165</v>
      </c>
    </row>
    <row r="489">
      <c r="B489" s="3" t="s">
        <v>2166</v>
      </c>
    </row>
    <row r="490">
      <c r="B490" s="3" t="s">
        <v>2167</v>
      </c>
    </row>
    <row r="491">
      <c r="B491" s="3" t="s">
        <v>2168</v>
      </c>
    </row>
    <row r="492">
      <c r="B492" s="3" t="s">
        <v>2169</v>
      </c>
    </row>
    <row r="493">
      <c r="B493" s="3" t="s">
        <v>2170</v>
      </c>
    </row>
    <row r="494">
      <c r="B494" s="3" t="s">
        <v>2171</v>
      </c>
    </row>
    <row r="495">
      <c r="A495" s="83">
        <f>average(C495:D495)</f>
        <v>2350</v>
      </c>
      <c r="B495" s="3" t="s">
        <v>2172</v>
      </c>
      <c r="C495" s="4">
        <v>2200.0</v>
      </c>
      <c r="D495" s="4">
        <v>2500.0</v>
      </c>
    </row>
    <row r="496">
      <c r="A496" s="83">
        <f>average(C496:E496)</f>
        <v>1866.666667</v>
      </c>
      <c r="B496" s="3" t="s">
        <v>2173</v>
      </c>
      <c r="C496" s="4">
        <v>1900.0</v>
      </c>
      <c r="D496" s="4">
        <v>1900.0</v>
      </c>
      <c r="E496" s="4">
        <v>1800.0</v>
      </c>
    </row>
    <row r="497">
      <c r="B497" s="3" t="s">
        <v>2174</v>
      </c>
    </row>
    <row r="498">
      <c r="A498" s="83">
        <f>average(C498:D498)</f>
        <v>1850</v>
      </c>
      <c r="B498" s="3" t="s">
        <v>2126</v>
      </c>
      <c r="C498" s="4">
        <v>1700.0</v>
      </c>
      <c r="D498" s="4">
        <v>2000.0</v>
      </c>
    </row>
    <row r="499">
      <c r="B499" s="3" t="s">
        <v>2175</v>
      </c>
    </row>
    <row r="500">
      <c r="B500" s="3" t="s">
        <v>2176</v>
      </c>
    </row>
    <row r="501">
      <c r="B501" s="3" t="s">
        <v>2177</v>
      </c>
    </row>
    <row r="502">
      <c r="A502" s="83">
        <f>average(C502:I502)</f>
        <v>2385.714286</v>
      </c>
      <c r="B502" s="3" t="s">
        <v>2178</v>
      </c>
      <c r="C502" s="4">
        <v>3100.0</v>
      </c>
      <c r="D502" s="4">
        <v>2800.0</v>
      </c>
      <c r="E502" s="4">
        <v>2600.0</v>
      </c>
      <c r="F502" s="4">
        <v>1900.0</v>
      </c>
      <c r="G502" s="4">
        <v>1900.0</v>
      </c>
      <c r="H502" s="4">
        <v>2200.0</v>
      </c>
      <c r="I502" s="4">
        <v>2200.0</v>
      </c>
    </row>
    <row r="503">
      <c r="A503" s="4">
        <v>2200.0</v>
      </c>
      <c r="B503" s="3" t="s">
        <v>2128</v>
      </c>
      <c r="C503" s="4">
        <v>2200.0</v>
      </c>
    </row>
    <row r="504">
      <c r="B504" s="3" t="s">
        <v>2179</v>
      </c>
    </row>
    <row r="505">
      <c r="A505" s="4">
        <v>2000.0</v>
      </c>
      <c r="B505" s="3" t="s">
        <v>2129</v>
      </c>
      <c r="C505" s="4">
        <v>2000.0</v>
      </c>
    </row>
    <row r="506">
      <c r="B506" s="3" t="s">
        <v>2180</v>
      </c>
    </row>
    <row r="507">
      <c r="B507" s="3" t="s">
        <v>2181</v>
      </c>
    </row>
    <row r="508">
      <c r="A508" s="83">
        <f>average(C508:I508)</f>
        <v>2028.571429</v>
      </c>
      <c r="B508" s="3" t="s">
        <v>2131</v>
      </c>
      <c r="C508" s="4">
        <v>1800.0</v>
      </c>
      <c r="D508" s="4">
        <v>1900.0</v>
      </c>
      <c r="E508" s="4">
        <v>1900.0</v>
      </c>
      <c r="F508" s="4">
        <v>2200.0</v>
      </c>
      <c r="G508" s="4">
        <v>2200.0</v>
      </c>
      <c r="H508" s="4">
        <v>2000.0</v>
      </c>
      <c r="I508" s="4">
        <v>2200.0</v>
      </c>
    </row>
    <row r="509">
      <c r="A509" s="83">
        <f>average(C509:S509)</f>
        <v>2270.588235</v>
      </c>
      <c r="B509" s="3" t="s">
        <v>2182</v>
      </c>
      <c r="C509" s="4">
        <v>2500.0</v>
      </c>
      <c r="D509" s="4">
        <v>2600.0</v>
      </c>
      <c r="E509" s="4">
        <v>2500.0</v>
      </c>
      <c r="F509" s="4">
        <v>2600.0</v>
      </c>
      <c r="G509" s="4">
        <v>2400.0</v>
      </c>
      <c r="H509" s="4">
        <v>2700.0</v>
      </c>
      <c r="I509" s="4">
        <v>2000.0</v>
      </c>
      <c r="J509" s="4">
        <v>2300.0</v>
      </c>
      <c r="K509" s="4">
        <v>2200.0</v>
      </c>
      <c r="L509" s="4">
        <v>2000.0</v>
      </c>
      <c r="M509" s="4">
        <v>2400.0</v>
      </c>
      <c r="N509" s="4">
        <v>2100.0</v>
      </c>
      <c r="O509" s="4">
        <v>2000.0</v>
      </c>
      <c r="P509" s="4">
        <v>2200.0</v>
      </c>
      <c r="Q509" s="4">
        <v>2000.0</v>
      </c>
      <c r="R509" s="4">
        <v>2100.0</v>
      </c>
      <c r="S509" s="4">
        <v>2000.0</v>
      </c>
    </row>
    <row r="510">
      <c r="B510" s="3" t="s">
        <v>2183</v>
      </c>
    </row>
    <row r="511">
      <c r="A511" s="4">
        <v>3000.0</v>
      </c>
      <c r="B511" s="3" t="s">
        <v>2184</v>
      </c>
      <c r="C511" s="4">
        <v>3000.0</v>
      </c>
    </row>
    <row r="512">
      <c r="B512" s="3" t="s">
        <v>2185</v>
      </c>
    </row>
    <row r="513">
      <c r="B513" s="3" t="s">
        <v>2186</v>
      </c>
    </row>
    <row r="514">
      <c r="B514" s="3"/>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5.38"/>
    <col customWidth="1" min="20" max="20" width="14.88"/>
  </cols>
  <sheetData>
    <row r="1">
      <c r="A1" s="49" t="s">
        <v>2187</v>
      </c>
      <c r="H1" s="85" t="s">
        <v>2188</v>
      </c>
      <c r="O1" s="159" t="s">
        <v>2189</v>
      </c>
      <c r="P1" s="160"/>
      <c r="Q1" s="160"/>
      <c r="R1" s="160"/>
      <c r="S1" s="160"/>
      <c r="T1" s="159" t="s">
        <v>2190</v>
      </c>
    </row>
    <row r="2">
      <c r="O2" s="160"/>
      <c r="P2" s="160"/>
      <c r="Q2" s="160"/>
      <c r="R2" s="160"/>
      <c r="S2" s="160"/>
      <c r="T2" s="160"/>
    </row>
    <row r="3">
      <c r="A3" s="161">
        <v>45224.0</v>
      </c>
      <c r="B3" s="162" t="s">
        <v>13</v>
      </c>
      <c r="C3" s="162" t="s">
        <v>180</v>
      </c>
      <c r="D3" s="162" t="s">
        <v>802</v>
      </c>
      <c r="E3" s="163" t="s">
        <v>67</v>
      </c>
      <c r="F3" s="164"/>
      <c r="H3" s="165">
        <v>45216.0</v>
      </c>
      <c r="I3" s="166" t="s">
        <v>13</v>
      </c>
      <c r="J3" s="166" t="s">
        <v>154</v>
      </c>
      <c r="K3" s="166" t="s">
        <v>830</v>
      </c>
      <c r="L3" s="167" t="s">
        <v>19</v>
      </c>
      <c r="M3" s="167"/>
      <c r="N3" s="4"/>
      <c r="O3" s="168">
        <v>45196.0</v>
      </c>
      <c r="P3" s="163" t="s">
        <v>13</v>
      </c>
      <c r="Q3" s="163" t="s">
        <v>90</v>
      </c>
      <c r="R3" s="163" t="s">
        <v>745</v>
      </c>
      <c r="S3" s="163" t="s">
        <v>782</v>
      </c>
      <c r="T3" s="160"/>
    </row>
    <row r="4">
      <c r="A4" s="161">
        <v>45225.0</v>
      </c>
      <c r="B4" s="162" t="s">
        <v>13</v>
      </c>
      <c r="C4" s="162" t="s">
        <v>183</v>
      </c>
      <c r="D4" s="162" t="s">
        <v>802</v>
      </c>
      <c r="E4" s="163" t="s">
        <v>67</v>
      </c>
      <c r="H4" s="165">
        <v>45218.0</v>
      </c>
      <c r="I4" s="166" t="s">
        <v>13</v>
      </c>
      <c r="J4" s="166" t="s">
        <v>159</v>
      </c>
      <c r="K4" s="166" t="s">
        <v>836</v>
      </c>
      <c r="L4" s="167" t="s">
        <v>19</v>
      </c>
      <c r="M4" s="169"/>
      <c r="O4" s="170">
        <v>45200.0</v>
      </c>
      <c r="P4" s="163" t="s">
        <v>13</v>
      </c>
      <c r="Q4" s="163" t="s">
        <v>103</v>
      </c>
      <c r="R4" s="163" t="s">
        <v>791</v>
      </c>
      <c r="S4" s="163" t="s">
        <v>793</v>
      </c>
      <c r="T4" s="160"/>
    </row>
    <row r="5">
      <c r="A5" s="161">
        <v>45226.0</v>
      </c>
      <c r="B5" s="162" t="s">
        <v>13</v>
      </c>
      <c r="C5" s="162" t="s">
        <v>185</v>
      </c>
      <c r="D5" s="162" t="s">
        <v>745</v>
      </c>
      <c r="E5" s="163" t="s">
        <v>67</v>
      </c>
      <c r="H5" s="165">
        <v>45219.0</v>
      </c>
      <c r="I5" s="166" t="s">
        <v>13</v>
      </c>
      <c r="J5" s="166" t="s">
        <v>163</v>
      </c>
      <c r="K5" s="166" t="s">
        <v>841</v>
      </c>
      <c r="L5" s="167" t="s">
        <v>19</v>
      </c>
      <c r="M5" s="169"/>
      <c r="O5" s="168">
        <v>45201.0</v>
      </c>
      <c r="P5" s="163" t="s">
        <v>13</v>
      </c>
      <c r="Q5" s="163" t="s">
        <v>106</v>
      </c>
      <c r="R5" s="163" t="s">
        <v>791</v>
      </c>
      <c r="S5" s="163" t="s">
        <v>796</v>
      </c>
      <c r="T5" s="160"/>
    </row>
    <row r="6">
      <c r="A6" s="171">
        <v>45229.0</v>
      </c>
      <c r="B6" s="172" t="s">
        <v>13</v>
      </c>
      <c r="C6" s="172" t="s">
        <v>187</v>
      </c>
      <c r="D6" s="172" t="s">
        <v>862</v>
      </c>
      <c r="E6" s="173" t="s">
        <v>67</v>
      </c>
      <c r="F6" s="173">
        <v>60.0</v>
      </c>
      <c r="G6" s="4"/>
      <c r="H6" s="165">
        <v>45222.0</v>
      </c>
      <c r="I6" s="166" t="s">
        <v>13</v>
      </c>
      <c r="J6" s="166" t="s">
        <v>169</v>
      </c>
      <c r="K6" s="166" t="s">
        <v>845</v>
      </c>
      <c r="L6" s="167" t="s">
        <v>19</v>
      </c>
      <c r="M6" s="169"/>
      <c r="O6" s="168">
        <v>45202.0</v>
      </c>
      <c r="P6" s="163" t="s">
        <v>13</v>
      </c>
      <c r="Q6" s="163" t="s">
        <v>110</v>
      </c>
      <c r="R6" s="163" t="s">
        <v>791</v>
      </c>
      <c r="S6" s="163" t="s">
        <v>799</v>
      </c>
      <c r="T6" s="160"/>
    </row>
    <row r="7">
      <c r="A7" s="171">
        <v>45230.0</v>
      </c>
      <c r="B7" s="172" t="s">
        <v>13</v>
      </c>
      <c r="C7" s="172" t="s">
        <v>189</v>
      </c>
      <c r="D7" s="172" t="s">
        <v>866</v>
      </c>
      <c r="E7" s="173" t="s">
        <v>67</v>
      </c>
      <c r="F7" s="173">
        <v>60.0</v>
      </c>
      <c r="G7" s="4"/>
      <c r="H7" s="174">
        <v>45232.0</v>
      </c>
      <c r="I7" s="162" t="s">
        <v>13</v>
      </c>
      <c r="J7" s="162" t="s">
        <v>196</v>
      </c>
      <c r="K7" s="162" t="s">
        <v>876</v>
      </c>
      <c r="L7" s="163" t="s">
        <v>19</v>
      </c>
      <c r="M7" s="163">
        <v>50.0</v>
      </c>
      <c r="N7" s="4"/>
      <c r="O7" s="160"/>
      <c r="P7" s="160"/>
      <c r="Q7" s="160"/>
      <c r="R7" s="160"/>
      <c r="S7" s="160"/>
      <c r="T7" s="160"/>
    </row>
    <row r="8">
      <c r="A8" s="175" t="s">
        <v>870</v>
      </c>
      <c r="B8" s="172" t="s">
        <v>13</v>
      </c>
      <c r="C8" s="172" t="s">
        <v>193</v>
      </c>
      <c r="D8" s="172" t="s">
        <v>871</v>
      </c>
      <c r="E8" s="173" t="s">
        <v>67</v>
      </c>
      <c r="F8" s="173">
        <v>50.0</v>
      </c>
      <c r="G8" s="4"/>
      <c r="H8" s="176">
        <v>45267.0</v>
      </c>
      <c r="I8" s="162" t="s">
        <v>246</v>
      </c>
      <c r="J8" s="162" t="s">
        <v>58</v>
      </c>
      <c r="K8" s="162" t="s">
        <v>924</v>
      </c>
      <c r="L8" s="163" t="s">
        <v>19</v>
      </c>
      <c r="M8" s="163">
        <v>50.0</v>
      </c>
      <c r="N8" s="4"/>
      <c r="O8" s="168">
        <v>45203.0</v>
      </c>
      <c r="P8" s="163" t="s">
        <v>13</v>
      </c>
      <c r="Q8" s="163" t="s">
        <v>113</v>
      </c>
      <c r="R8" s="163" t="s">
        <v>802</v>
      </c>
      <c r="S8" s="163" t="s">
        <v>782</v>
      </c>
      <c r="T8" s="160"/>
    </row>
    <row r="9">
      <c r="A9" s="174">
        <v>45236.0</v>
      </c>
      <c r="B9" s="162" t="s">
        <v>13</v>
      </c>
      <c r="C9" s="162" t="s">
        <v>199</v>
      </c>
      <c r="D9" s="162" t="s">
        <v>876</v>
      </c>
      <c r="E9" s="163" t="s">
        <v>67</v>
      </c>
      <c r="F9" s="163">
        <v>50.0</v>
      </c>
      <c r="G9" s="4"/>
      <c r="H9" s="177">
        <v>45268.0</v>
      </c>
      <c r="I9" s="178" t="s">
        <v>246</v>
      </c>
      <c r="J9" s="178" t="s">
        <v>63</v>
      </c>
      <c r="K9" s="178" t="s">
        <v>920</v>
      </c>
      <c r="L9" s="179" t="s">
        <v>19</v>
      </c>
      <c r="M9" s="179">
        <v>50.0</v>
      </c>
      <c r="N9" s="4"/>
      <c r="O9" s="168">
        <v>45204.0</v>
      </c>
      <c r="P9" s="163" t="s">
        <v>13</v>
      </c>
      <c r="Q9" s="163" t="s">
        <v>117</v>
      </c>
      <c r="R9" s="163" t="s">
        <v>802</v>
      </c>
      <c r="S9" s="163" t="s">
        <v>793</v>
      </c>
      <c r="T9" s="160"/>
    </row>
    <row r="10">
      <c r="A10" s="180">
        <v>45246.0</v>
      </c>
      <c r="B10" s="181" t="s">
        <v>246</v>
      </c>
      <c r="C10" s="181" t="s">
        <v>14</v>
      </c>
      <c r="D10" s="181" t="s">
        <v>900</v>
      </c>
      <c r="E10" s="182" t="s">
        <v>67</v>
      </c>
      <c r="F10" s="182">
        <v>50.0</v>
      </c>
      <c r="G10" s="4"/>
      <c r="H10" s="180">
        <v>45275.0</v>
      </c>
      <c r="I10" s="181" t="s">
        <v>246</v>
      </c>
      <c r="J10" s="181" t="s">
        <v>82</v>
      </c>
      <c r="K10" s="181" t="s">
        <v>900</v>
      </c>
      <c r="L10" s="182" t="s">
        <v>19</v>
      </c>
      <c r="M10" s="182">
        <v>50.0</v>
      </c>
      <c r="N10" s="4"/>
      <c r="O10" s="168">
        <v>45208.0</v>
      </c>
      <c r="P10" s="163" t="s">
        <v>13</v>
      </c>
      <c r="Q10" s="163" t="s">
        <v>129</v>
      </c>
      <c r="R10" s="163" t="s">
        <v>802</v>
      </c>
      <c r="S10" s="163" t="s">
        <v>796</v>
      </c>
      <c r="T10" s="160"/>
    </row>
    <row r="11">
      <c r="A11" s="161">
        <v>45247.0</v>
      </c>
      <c r="B11" s="162" t="s">
        <v>13</v>
      </c>
      <c r="C11" s="162" t="s">
        <v>222</v>
      </c>
      <c r="D11" s="162" t="s">
        <v>876</v>
      </c>
      <c r="E11" s="163" t="s">
        <v>60</v>
      </c>
      <c r="F11" s="163">
        <v>50.0</v>
      </c>
      <c r="G11" s="4"/>
      <c r="H11" s="161">
        <v>45294.0</v>
      </c>
      <c r="I11" s="162" t="s">
        <v>246</v>
      </c>
      <c r="J11" s="162" t="s">
        <v>106</v>
      </c>
      <c r="K11" s="162" t="s">
        <v>900</v>
      </c>
      <c r="L11" s="163" t="s">
        <v>19</v>
      </c>
      <c r="M11" s="163">
        <v>90.0</v>
      </c>
      <c r="N11" s="4"/>
      <c r="O11" s="170">
        <v>45209.0</v>
      </c>
      <c r="P11" s="163" t="s">
        <v>13</v>
      </c>
      <c r="Q11" s="163" t="s">
        <v>133</v>
      </c>
      <c r="R11" s="163" t="s">
        <v>802</v>
      </c>
      <c r="S11" s="163" t="s">
        <v>799</v>
      </c>
      <c r="T11" s="160"/>
    </row>
    <row r="12">
      <c r="A12" s="161">
        <v>45250.0</v>
      </c>
      <c r="B12" s="162" t="s">
        <v>13</v>
      </c>
      <c r="C12" s="162" t="s">
        <v>224</v>
      </c>
      <c r="D12" s="162" t="s">
        <v>876</v>
      </c>
      <c r="E12" s="163" t="s">
        <v>60</v>
      </c>
      <c r="F12" s="163">
        <v>50.0</v>
      </c>
      <c r="G12" s="4"/>
      <c r="H12" s="161">
        <v>45295.0</v>
      </c>
      <c r="I12" s="162" t="s">
        <v>246</v>
      </c>
      <c r="J12" s="162" t="s">
        <v>110</v>
      </c>
      <c r="K12" s="162" t="s">
        <v>900</v>
      </c>
      <c r="L12" s="163" t="s">
        <v>19</v>
      </c>
      <c r="M12" s="163">
        <v>90.0</v>
      </c>
      <c r="N12" s="4"/>
      <c r="O12" s="160"/>
      <c r="P12" s="160"/>
      <c r="Q12" s="160"/>
      <c r="R12" s="160"/>
      <c r="S12" s="160"/>
      <c r="T12" s="160"/>
    </row>
    <row r="13">
      <c r="A13" s="183">
        <v>45251.0</v>
      </c>
      <c r="B13" s="172" t="s">
        <v>13</v>
      </c>
      <c r="C13" s="172" t="s">
        <v>226</v>
      </c>
      <c r="D13" s="172" t="s">
        <v>910</v>
      </c>
      <c r="E13" s="173" t="s">
        <v>60</v>
      </c>
      <c r="F13" s="173">
        <v>50.0</v>
      </c>
      <c r="G13" s="4"/>
      <c r="H13" s="165">
        <v>45296.0</v>
      </c>
      <c r="I13" s="166" t="s">
        <v>246</v>
      </c>
      <c r="J13" s="166" t="s">
        <v>113</v>
      </c>
      <c r="K13" s="166" t="s">
        <v>972</v>
      </c>
      <c r="L13" s="167" t="s">
        <v>19</v>
      </c>
      <c r="M13" s="167">
        <v>90.0</v>
      </c>
      <c r="N13" s="4"/>
      <c r="O13" s="161">
        <v>45210.0</v>
      </c>
      <c r="P13" s="162" t="s">
        <v>13</v>
      </c>
      <c r="Q13" s="162" t="s">
        <v>137</v>
      </c>
      <c r="R13" s="162" t="s">
        <v>740</v>
      </c>
      <c r="S13" s="163" t="s">
        <v>782</v>
      </c>
      <c r="T13" s="160"/>
    </row>
    <row r="14">
      <c r="A14" s="171">
        <v>45252.0</v>
      </c>
      <c r="B14" s="172" t="s">
        <v>13</v>
      </c>
      <c r="C14" s="172" t="s">
        <v>231</v>
      </c>
      <c r="D14" s="172" t="s">
        <v>914</v>
      </c>
      <c r="E14" s="173" t="s">
        <v>60</v>
      </c>
      <c r="F14" s="173">
        <v>50.0</v>
      </c>
      <c r="G14" s="4"/>
      <c r="H14" s="165">
        <v>45299.0</v>
      </c>
      <c r="I14" s="166" t="s">
        <v>246</v>
      </c>
      <c r="J14" s="166" t="s">
        <v>117</v>
      </c>
      <c r="K14" s="166" t="s">
        <v>972</v>
      </c>
      <c r="L14" s="167" t="s">
        <v>19</v>
      </c>
      <c r="M14" s="167">
        <v>90.0</v>
      </c>
      <c r="N14" s="4"/>
      <c r="O14" s="161">
        <v>45211.0</v>
      </c>
      <c r="P14" s="162" t="s">
        <v>13</v>
      </c>
      <c r="Q14" s="162" t="s">
        <v>140</v>
      </c>
      <c r="R14" s="162" t="s">
        <v>740</v>
      </c>
      <c r="S14" s="184" t="s">
        <v>793</v>
      </c>
      <c r="T14" s="160"/>
    </row>
    <row r="15">
      <c r="A15" s="177">
        <v>45259.0</v>
      </c>
      <c r="B15" s="178" t="s">
        <v>246</v>
      </c>
      <c r="C15" s="178" t="s">
        <v>28</v>
      </c>
      <c r="D15" s="178" t="s">
        <v>920</v>
      </c>
      <c r="E15" s="179" t="s">
        <v>67</v>
      </c>
      <c r="F15" s="179">
        <v>50.0</v>
      </c>
      <c r="G15" s="4"/>
      <c r="H15" s="165">
        <v>45300.0</v>
      </c>
      <c r="I15" s="166" t="s">
        <v>246</v>
      </c>
      <c r="J15" s="166" t="s">
        <v>120</v>
      </c>
      <c r="K15" s="166" t="s">
        <v>972</v>
      </c>
      <c r="L15" s="167" t="s">
        <v>19</v>
      </c>
      <c r="M15" s="167">
        <v>90.0</v>
      </c>
      <c r="N15" s="4"/>
      <c r="O15" s="161">
        <v>44117.0</v>
      </c>
      <c r="P15" s="162" t="s">
        <v>13</v>
      </c>
      <c r="Q15" s="162" t="s">
        <v>146</v>
      </c>
      <c r="R15" s="162" t="s">
        <v>740</v>
      </c>
      <c r="S15" s="163" t="s">
        <v>796</v>
      </c>
      <c r="T15" s="160"/>
    </row>
    <row r="16">
      <c r="A16" s="161">
        <v>45260.0</v>
      </c>
      <c r="B16" s="162" t="s">
        <v>246</v>
      </c>
      <c r="C16" s="162" t="s">
        <v>33</v>
      </c>
      <c r="D16" s="162" t="s">
        <v>924</v>
      </c>
      <c r="E16" s="163" t="s">
        <v>67</v>
      </c>
      <c r="F16" s="163">
        <v>50.0</v>
      </c>
      <c r="G16" s="4"/>
      <c r="H16" s="165">
        <v>45301.0</v>
      </c>
      <c r="I16" s="166" t="s">
        <v>246</v>
      </c>
      <c r="J16" s="166" t="s">
        <v>125</v>
      </c>
      <c r="K16" s="166" t="s">
        <v>924</v>
      </c>
      <c r="L16" s="167" t="s">
        <v>19</v>
      </c>
      <c r="M16" s="167">
        <v>90.0</v>
      </c>
      <c r="N16" s="4"/>
      <c r="O16" s="161">
        <v>45215.0</v>
      </c>
      <c r="P16" s="162" t="s">
        <v>13</v>
      </c>
      <c r="Q16" s="162" t="s">
        <v>150</v>
      </c>
      <c r="R16" s="162" t="s">
        <v>740</v>
      </c>
      <c r="S16" s="163" t="s">
        <v>799</v>
      </c>
      <c r="T16" s="160"/>
    </row>
    <row r="17">
      <c r="A17" s="177">
        <v>45264.0</v>
      </c>
      <c r="B17" s="178" t="s">
        <v>246</v>
      </c>
      <c r="C17" s="178" t="s">
        <v>41</v>
      </c>
      <c r="D17" s="178" t="s">
        <v>920</v>
      </c>
      <c r="E17" s="179" t="s">
        <v>60</v>
      </c>
      <c r="F17" s="179">
        <v>50.0</v>
      </c>
      <c r="G17" s="4"/>
      <c r="H17" s="165">
        <v>45302.0</v>
      </c>
      <c r="I17" s="166" t="s">
        <v>246</v>
      </c>
      <c r="J17" s="166" t="s">
        <v>129</v>
      </c>
      <c r="K17" s="166" t="s">
        <v>924</v>
      </c>
      <c r="L17" s="167" t="s">
        <v>19</v>
      </c>
      <c r="M17" s="167">
        <v>90.0</v>
      </c>
      <c r="N17" s="4"/>
      <c r="O17" s="160"/>
      <c r="P17" s="160"/>
      <c r="Q17" s="160"/>
      <c r="R17" s="160"/>
      <c r="S17" s="160"/>
      <c r="T17" s="160"/>
    </row>
    <row r="18">
      <c r="A18" s="171">
        <v>45265.0</v>
      </c>
      <c r="B18" s="172" t="s">
        <v>246</v>
      </c>
      <c r="C18" s="172" t="s">
        <v>46</v>
      </c>
      <c r="D18" s="172" t="s">
        <v>931</v>
      </c>
      <c r="E18" s="173" t="s">
        <v>60</v>
      </c>
      <c r="F18" s="173">
        <v>50.0</v>
      </c>
      <c r="G18" s="4"/>
      <c r="H18" s="165">
        <v>45303.0</v>
      </c>
      <c r="I18" s="166" t="s">
        <v>246</v>
      </c>
      <c r="J18" s="166" t="s">
        <v>133</v>
      </c>
      <c r="K18" s="166" t="s">
        <v>987</v>
      </c>
      <c r="L18" s="167" t="s">
        <v>19</v>
      </c>
      <c r="M18" s="167">
        <v>90.0</v>
      </c>
      <c r="N18" s="4"/>
      <c r="O18" s="174">
        <v>45239.0</v>
      </c>
      <c r="P18" s="162" t="s">
        <v>13</v>
      </c>
      <c r="Q18" s="162" t="s">
        <v>204</v>
      </c>
      <c r="R18" s="162" t="s">
        <v>876</v>
      </c>
      <c r="S18" s="163" t="s">
        <v>782</v>
      </c>
      <c r="T18" s="163">
        <v>50.0</v>
      </c>
    </row>
    <row r="19">
      <c r="A19" s="161">
        <v>45266.0</v>
      </c>
      <c r="B19" s="162" t="s">
        <v>246</v>
      </c>
      <c r="C19" s="162" t="s">
        <v>51</v>
      </c>
      <c r="D19" s="162" t="s">
        <v>924</v>
      </c>
      <c r="E19" s="163" t="s">
        <v>60</v>
      </c>
      <c r="F19" s="163">
        <v>50.0</v>
      </c>
      <c r="G19" s="4"/>
      <c r="H19" s="161">
        <v>45314.0</v>
      </c>
      <c r="I19" s="162" t="s">
        <v>246</v>
      </c>
      <c r="J19" s="162" t="s">
        <v>159</v>
      </c>
      <c r="K19" s="162" t="s">
        <v>991</v>
      </c>
      <c r="L19" s="163" t="s">
        <v>19</v>
      </c>
      <c r="M19" s="163">
        <v>80.0</v>
      </c>
      <c r="N19" s="4"/>
      <c r="O19" s="161">
        <v>45240.0</v>
      </c>
      <c r="P19" s="162" t="s">
        <v>13</v>
      </c>
      <c r="Q19" s="162" t="s">
        <v>208</v>
      </c>
      <c r="R19" s="162" t="s">
        <v>876</v>
      </c>
      <c r="S19" s="163" t="s">
        <v>793</v>
      </c>
      <c r="T19" s="163">
        <v>50.0</v>
      </c>
    </row>
    <row r="20">
      <c r="A20" s="161">
        <v>45280.0</v>
      </c>
      <c r="B20" s="162" t="s">
        <v>246</v>
      </c>
      <c r="C20" s="162" t="s">
        <v>90</v>
      </c>
      <c r="D20" s="162" t="s">
        <v>924</v>
      </c>
      <c r="E20" s="163" t="s">
        <v>78</v>
      </c>
      <c r="F20" s="163">
        <v>50.0</v>
      </c>
      <c r="G20" s="4"/>
      <c r="H20" s="161">
        <v>45321.0</v>
      </c>
      <c r="I20" s="162" t="s">
        <v>246</v>
      </c>
      <c r="J20" s="162" t="s">
        <v>180</v>
      </c>
      <c r="K20" s="162" t="s">
        <v>900</v>
      </c>
      <c r="L20" s="163" t="s">
        <v>19</v>
      </c>
      <c r="M20" s="163">
        <v>90.0</v>
      </c>
      <c r="N20" s="4"/>
      <c r="O20" s="161">
        <v>45243.0</v>
      </c>
      <c r="P20" s="162" t="s">
        <v>13</v>
      </c>
      <c r="Q20" s="162" t="s">
        <v>210</v>
      </c>
      <c r="R20" s="162" t="s">
        <v>876</v>
      </c>
      <c r="S20" s="163" t="s">
        <v>796</v>
      </c>
      <c r="T20" s="163">
        <v>50.0</v>
      </c>
    </row>
    <row r="21">
      <c r="A21" s="161">
        <v>45281.0</v>
      </c>
      <c r="B21" s="162" t="s">
        <v>246</v>
      </c>
      <c r="C21" s="162" t="s">
        <v>93</v>
      </c>
      <c r="D21" s="162" t="s">
        <v>924</v>
      </c>
      <c r="E21" s="163" t="s">
        <v>78</v>
      </c>
      <c r="F21" s="163">
        <v>50.0</v>
      </c>
      <c r="G21" s="4"/>
      <c r="H21" s="165">
        <v>45322.0</v>
      </c>
      <c r="I21" s="166" t="s">
        <v>246</v>
      </c>
      <c r="J21" s="166" t="s">
        <v>183</v>
      </c>
      <c r="K21" s="166" t="s">
        <v>1032</v>
      </c>
      <c r="L21" s="167" t="s">
        <v>19</v>
      </c>
      <c r="M21" s="167">
        <v>90.0</v>
      </c>
      <c r="N21" s="4"/>
      <c r="O21" s="161">
        <v>45244.0</v>
      </c>
      <c r="P21" s="162" t="s">
        <v>13</v>
      </c>
      <c r="Q21" s="162" t="s">
        <v>217</v>
      </c>
      <c r="R21" s="162" t="s">
        <v>876</v>
      </c>
      <c r="S21" s="163" t="s">
        <v>799</v>
      </c>
      <c r="T21" s="163">
        <v>50.0</v>
      </c>
    </row>
    <row r="22">
      <c r="A22" s="177">
        <v>45282.0</v>
      </c>
      <c r="B22" s="178" t="s">
        <v>246</v>
      </c>
      <c r="C22" s="178" t="s">
        <v>98</v>
      </c>
      <c r="D22" s="178" t="s">
        <v>920</v>
      </c>
      <c r="E22" s="179" t="s">
        <v>78</v>
      </c>
      <c r="F22" s="179">
        <v>50.0</v>
      </c>
      <c r="G22" s="4"/>
      <c r="H22" s="165">
        <v>45323.0</v>
      </c>
      <c r="I22" s="166" t="s">
        <v>246</v>
      </c>
      <c r="J22" s="166" t="s">
        <v>185</v>
      </c>
      <c r="K22" s="166" t="s">
        <v>1037</v>
      </c>
      <c r="L22" s="167" t="s">
        <v>19</v>
      </c>
      <c r="M22" s="167">
        <v>90.0</v>
      </c>
      <c r="N22" s="4"/>
      <c r="O22" s="160"/>
      <c r="P22" s="160"/>
      <c r="Q22" s="160"/>
      <c r="R22" s="160"/>
      <c r="S22" s="160"/>
      <c r="T22" s="160"/>
    </row>
    <row r="23">
      <c r="A23" s="177">
        <v>45293.0</v>
      </c>
      <c r="B23" s="178" t="s">
        <v>246</v>
      </c>
      <c r="C23" s="178" t="s">
        <v>103</v>
      </c>
      <c r="D23" s="178" t="s">
        <v>900</v>
      </c>
      <c r="E23" s="179" t="s">
        <v>78</v>
      </c>
      <c r="F23" s="179">
        <v>50.0</v>
      </c>
      <c r="G23" s="4"/>
      <c r="H23" s="165">
        <v>45324.0</v>
      </c>
      <c r="I23" s="166" t="s">
        <v>246</v>
      </c>
      <c r="J23" s="166" t="s">
        <v>187</v>
      </c>
      <c r="K23" s="166" t="s">
        <v>1008</v>
      </c>
      <c r="L23" s="167" t="s">
        <v>19</v>
      </c>
      <c r="M23" s="167">
        <v>90.0</v>
      </c>
      <c r="N23" s="4"/>
      <c r="O23" s="161">
        <v>45271.0</v>
      </c>
      <c r="P23" s="162" t="s">
        <v>246</v>
      </c>
      <c r="Q23" s="162" t="s">
        <v>66</v>
      </c>
      <c r="R23" s="162" t="s">
        <v>924</v>
      </c>
      <c r="S23" s="163" t="s">
        <v>782</v>
      </c>
      <c r="T23" s="163">
        <v>50.0</v>
      </c>
    </row>
    <row r="24">
      <c r="A24" s="177">
        <v>45357.0</v>
      </c>
      <c r="B24" s="178" t="s">
        <v>13</v>
      </c>
      <c r="C24" s="178" t="s">
        <v>368</v>
      </c>
      <c r="D24" s="178" t="s">
        <v>1076</v>
      </c>
      <c r="E24" s="179" t="s">
        <v>60</v>
      </c>
      <c r="F24" s="179">
        <v>55.0</v>
      </c>
      <c r="G24" s="4"/>
      <c r="H24" s="165">
        <v>45328.0</v>
      </c>
      <c r="I24" s="166" t="s">
        <v>246</v>
      </c>
      <c r="J24" s="166" t="s">
        <v>189</v>
      </c>
      <c r="K24" s="166" t="s">
        <v>924</v>
      </c>
      <c r="L24" s="167" t="s">
        <v>19</v>
      </c>
      <c r="M24" s="167">
        <v>80.0</v>
      </c>
      <c r="N24" s="4"/>
      <c r="O24" s="161">
        <v>45272.0</v>
      </c>
      <c r="P24" s="162" t="s">
        <v>246</v>
      </c>
      <c r="Q24" s="162" t="s">
        <v>70</v>
      </c>
      <c r="R24" s="162" t="s">
        <v>924</v>
      </c>
      <c r="S24" s="163" t="s">
        <v>793</v>
      </c>
      <c r="T24" s="163">
        <v>50.0</v>
      </c>
    </row>
    <row r="25">
      <c r="A25" s="171">
        <v>45363.0</v>
      </c>
      <c r="B25" s="172" t="s">
        <v>13</v>
      </c>
      <c r="C25" s="172" t="s">
        <v>385</v>
      </c>
      <c r="D25" s="172" t="s">
        <v>1076</v>
      </c>
      <c r="E25" s="173" t="s">
        <v>60</v>
      </c>
      <c r="F25" s="173">
        <v>55.0</v>
      </c>
      <c r="G25" s="173">
        <v>-10.0</v>
      </c>
      <c r="H25" s="185">
        <v>45329.0</v>
      </c>
      <c r="I25" s="186" t="s">
        <v>246</v>
      </c>
      <c r="J25" s="186" t="s">
        <v>193</v>
      </c>
      <c r="K25" s="186" t="s">
        <v>924</v>
      </c>
      <c r="L25" s="187" t="s">
        <v>19</v>
      </c>
      <c r="M25" s="187">
        <v>75.0</v>
      </c>
      <c r="N25" s="4"/>
      <c r="O25" s="161">
        <v>45273.0</v>
      </c>
      <c r="P25" s="162" t="s">
        <v>246</v>
      </c>
      <c r="Q25" s="162" t="s">
        <v>73</v>
      </c>
      <c r="R25" s="162" t="s">
        <v>924</v>
      </c>
      <c r="S25" s="163" t="s">
        <v>796</v>
      </c>
      <c r="T25" s="163">
        <v>50.0</v>
      </c>
    </row>
    <row r="26">
      <c r="A26" s="171">
        <v>45364.0</v>
      </c>
      <c r="B26" s="172" t="s">
        <v>13</v>
      </c>
      <c r="C26" s="172" t="s">
        <v>439</v>
      </c>
      <c r="D26" s="172" t="s">
        <v>1107</v>
      </c>
      <c r="E26" s="173" t="s">
        <v>60</v>
      </c>
      <c r="F26" s="173">
        <v>55.0</v>
      </c>
      <c r="G26" s="179">
        <v>-10.0</v>
      </c>
      <c r="H26" s="177">
        <v>45348.0</v>
      </c>
      <c r="I26" s="178" t="s">
        <v>13</v>
      </c>
      <c r="J26" s="178" t="s">
        <v>235</v>
      </c>
      <c r="K26" s="178" t="s">
        <v>1076</v>
      </c>
      <c r="L26" s="179" t="s">
        <v>19</v>
      </c>
      <c r="M26" s="179">
        <v>55.0</v>
      </c>
      <c r="N26" s="4"/>
      <c r="O26" s="161">
        <v>45274.0</v>
      </c>
      <c r="P26" s="162" t="s">
        <v>246</v>
      </c>
      <c r="Q26" s="162" t="s">
        <v>77</v>
      </c>
      <c r="R26" s="162" t="s">
        <v>924</v>
      </c>
      <c r="S26" s="163" t="s">
        <v>799</v>
      </c>
      <c r="T26" s="163">
        <v>50.0</v>
      </c>
    </row>
    <row r="27">
      <c r="A27" s="177">
        <v>45365.0</v>
      </c>
      <c r="B27" s="178" t="s">
        <v>13</v>
      </c>
      <c r="C27" s="178" t="s">
        <v>443</v>
      </c>
      <c r="D27" s="178" t="s">
        <v>1111</v>
      </c>
      <c r="E27" s="179" t="s">
        <v>60</v>
      </c>
      <c r="F27" s="179">
        <v>55.0</v>
      </c>
      <c r="G27" s="179">
        <v>-10.0</v>
      </c>
      <c r="H27" s="165">
        <v>45358.0</v>
      </c>
      <c r="I27" s="166" t="s">
        <v>13</v>
      </c>
      <c r="J27" s="166" t="s">
        <v>373</v>
      </c>
      <c r="K27" s="166" t="s">
        <v>1096</v>
      </c>
      <c r="L27" s="167" t="s">
        <v>19</v>
      </c>
      <c r="M27" s="167">
        <v>70.0</v>
      </c>
      <c r="N27" s="4"/>
      <c r="O27" s="161">
        <v>45279.0</v>
      </c>
      <c r="P27" s="162" t="s">
        <v>246</v>
      </c>
      <c r="Q27" s="162" t="s">
        <v>85</v>
      </c>
      <c r="R27" s="162" t="s">
        <v>924</v>
      </c>
      <c r="S27" s="163" t="s">
        <v>953</v>
      </c>
      <c r="T27" s="163">
        <v>50.0</v>
      </c>
    </row>
    <row r="28">
      <c r="A28" s="177">
        <v>45369.0</v>
      </c>
      <c r="B28" s="178" t="s">
        <v>13</v>
      </c>
      <c r="C28" s="178" t="s">
        <v>446</v>
      </c>
      <c r="D28" s="178" t="s">
        <v>1111</v>
      </c>
      <c r="E28" s="179" t="s">
        <v>67</v>
      </c>
      <c r="F28" s="179">
        <v>55.0</v>
      </c>
      <c r="G28" s="179">
        <v>-10.0</v>
      </c>
      <c r="H28" s="165">
        <v>45359.0</v>
      </c>
      <c r="I28" s="166" t="s">
        <v>13</v>
      </c>
      <c r="J28" s="166" t="s">
        <v>377</v>
      </c>
      <c r="K28" s="166" t="s">
        <v>862</v>
      </c>
      <c r="L28" s="167" t="s">
        <v>19</v>
      </c>
      <c r="M28" s="167">
        <v>70.0</v>
      </c>
      <c r="N28" s="4"/>
      <c r="O28" s="160"/>
      <c r="P28" s="160"/>
      <c r="Q28" s="160"/>
      <c r="R28" s="160"/>
      <c r="S28" s="160"/>
      <c r="T28" s="160"/>
    </row>
    <row r="29">
      <c r="A29" s="171">
        <v>45373.0</v>
      </c>
      <c r="B29" s="172" t="s">
        <v>13</v>
      </c>
      <c r="C29" s="172" t="s">
        <v>459</v>
      </c>
      <c r="D29" s="172" t="s">
        <v>1107</v>
      </c>
      <c r="E29" s="173" t="s">
        <v>60</v>
      </c>
      <c r="F29" s="173">
        <v>60.0</v>
      </c>
      <c r="G29" s="179">
        <v>-15.0</v>
      </c>
      <c r="H29" s="165">
        <v>45362.0</v>
      </c>
      <c r="I29" s="166" t="s">
        <v>13</v>
      </c>
      <c r="J29" s="166" t="s">
        <v>381</v>
      </c>
      <c r="K29" s="166" t="s">
        <v>1096</v>
      </c>
      <c r="L29" s="167" t="s">
        <v>100</v>
      </c>
      <c r="M29" s="167">
        <v>70.0</v>
      </c>
      <c r="N29" s="4"/>
      <c r="O29" s="161">
        <v>45307.0</v>
      </c>
      <c r="P29" s="162" t="s">
        <v>246</v>
      </c>
      <c r="Q29" s="162" t="s">
        <v>137</v>
      </c>
      <c r="R29" s="162" t="s">
        <v>991</v>
      </c>
      <c r="S29" s="163" t="s">
        <v>782</v>
      </c>
      <c r="T29" s="163">
        <v>80.0</v>
      </c>
    </row>
    <row r="30">
      <c r="A30" s="171">
        <v>45376.0</v>
      </c>
      <c r="B30" s="172" t="s">
        <v>13</v>
      </c>
      <c r="C30" s="172" t="s">
        <v>462</v>
      </c>
      <c r="D30" s="172" t="s">
        <v>1107</v>
      </c>
      <c r="E30" s="173" t="s">
        <v>67</v>
      </c>
      <c r="F30" s="173">
        <v>60.0</v>
      </c>
      <c r="G30" s="179">
        <v>-15.0</v>
      </c>
      <c r="H30" s="177">
        <v>45370.0</v>
      </c>
      <c r="I30" s="178" t="s">
        <v>13</v>
      </c>
      <c r="J30" s="178" t="s">
        <v>449</v>
      </c>
      <c r="K30" s="178" t="s">
        <v>1111</v>
      </c>
      <c r="L30" s="179" t="s">
        <v>19</v>
      </c>
      <c r="M30" s="179">
        <v>55.0</v>
      </c>
      <c r="N30" s="179">
        <v>-10.0</v>
      </c>
      <c r="O30" s="161">
        <v>45308.0</v>
      </c>
      <c r="P30" s="162" t="s">
        <v>246</v>
      </c>
      <c r="Q30" s="162" t="s">
        <v>140</v>
      </c>
      <c r="R30" s="162" t="s">
        <v>991</v>
      </c>
      <c r="S30" s="163" t="s">
        <v>793</v>
      </c>
      <c r="T30" s="163">
        <v>80.0</v>
      </c>
    </row>
    <row r="31">
      <c r="A31" s="171">
        <v>45377.0</v>
      </c>
      <c r="B31" s="172" t="s">
        <v>13</v>
      </c>
      <c r="C31" s="172" t="s">
        <v>465</v>
      </c>
      <c r="D31" s="172" t="s">
        <v>1107</v>
      </c>
      <c r="E31" s="173" t="s">
        <v>67</v>
      </c>
      <c r="F31" s="173">
        <v>55.0</v>
      </c>
      <c r="G31" s="179">
        <v>-10.0</v>
      </c>
      <c r="H31" s="177">
        <v>45371.0</v>
      </c>
      <c r="I31" s="178" t="s">
        <v>13</v>
      </c>
      <c r="J31" s="178" t="s">
        <v>452</v>
      </c>
      <c r="K31" s="178" t="s">
        <v>1111</v>
      </c>
      <c r="L31" s="179" t="s">
        <v>100</v>
      </c>
      <c r="M31" s="179">
        <v>55.0</v>
      </c>
      <c r="N31" s="179">
        <v>-10.0</v>
      </c>
      <c r="O31" s="161">
        <v>45309.0</v>
      </c>
      <c r="P31" s="162" t="s">
        <v>246</v>
      </c>
      <c r="Q31" s="162" t="s">
        <v>146</v>
      </c>
      <c r="R31" s="162" t="s">
        <v>991</v>
      </c>
      <c r="S31" s="163" t="s">
        <v>796</v>
      </c>
      <c r="T31" s="163">
        <v>80.0</v>
      </c>
    </row>
    <row r="32">
      <c r="A32" s="171">
        <v>45383.0</v>
      </c>
      <c r="B32" s="172" t="s">
        <v>246</v>
      </c>
      <c r="C32" s="172" t="s">
        <v>224</v>
      </c>
      <c r="D32" s="172" t="s">
        <v>1131</v>
      </c>
      <c r="E32" s="173" t="s">
        <v>60</v>
      </c>
      <c r="F32" s="173">
        <v>55.0</v>
      </c>
      <c r="H32" s="164"/>
      <c r="I32" s="164"/>
      <c r="J32" s="164"/>
      <c r="K32" s="164"/>
      <c r="L32" s="164"/>
      <c r="M32" s="164"/>
      <c r="N32" s="164"/>
      <c r="O32" s="161">
        <v>45310.0</v>
      </c>
      <c r="P32" s="162" t="s">
        <v>246</v>
      </c>
      <c r="Q32" s="162" t="s">
        <v>150</v>
      </c>
      <c r="R32" s="162" t="s">
        <v>991</v>
      </c>
      <c r="S32" s="163" t="s">
        <v>799</v>
      </c>
      <c r="T32" s="163">
        <v>80.0</v>
      </c>
    </row>
    <row r="33">
      <c r="A33" s="171">
        <v>45385.0</v>
      </c>
      <c r="B33" s="172" t="s">
        <v>246</v>
      </c>
      <c r="C33" s="172" t="s">
        <v>226</v>
      </c>
      <c r="D33" s="172" t="s">
        <v>1131</v>
      </c>
      <c r="E33" s="173" t="s">
        <v>67</v>
      </c>
      <c r="F33" s="173">
        <v>65.0</v>
      </c>
      <c r="H33" s="177">
        <v>45372.0</v>
      </c>
      <c r="I33" s="178" t="s">
        <v>13</v>
      </c>
      <c r="J33" s="178" t="s">
        <v>455</v>
      </c>
      <c r="K33" s="178" t="s">
        <v>1111</v>
      </c>
      <c r="L33" s="179" t="s">
        <v>796</v>
      </c>
      <c r="M33" s="179">
        <v>55.0</v>
      </c>
      <c r="N33" s="179">
        <v>-10.0</v>
      </c>
    </row>
    <row r="34">
      <c r="A34" s="171">
        <v>45386.0</v>
      </c>
      <c r="B34" s="172" t="s">
        <v>246</v>
      </c>
      <c r="C34" s="172" t="s">
        <v>231</v>
      </c>
      <c r="D34" s="172" t="s">
        <v>1138</v>
      </c>
      <c r="E34" s="173" t="s">
        <v>60</v>
      </c>
      <c r="F34" s="173">
        <v>60.0</v>
      </c>
      <c r="O34" s="161">
        <v>45315.0</v>
      </c>
      <c r="P34" s="162" t="s">
        <v>246</v>
      </c>
      <c r="Q34" s="162" t="s">
        <v>163</v>
      </c>
      <c r="R34" s="162" t="s">
        <v>900</v>
      </c>
      <c r="S34" s="163" t="s">
        <v>782</v>
      </c>
      <c r="T34" s="163">
        <v>90.0</v>
      </c>
    </row>
    <row r="35">
      <c r="A35" s="171">
        <v>45387.0</v>
      </c>
      <c r="B35" s="172" t="s">
        <v>246</v>
      </c>
      <c r="C35" s="172" t="s">
        <v>235</v>
      </c>
      <c r="D35" s="172" t="s">
        <v>1141</v>
      </c>
      <c r="E35" s="173" t="s">
        <v>60</v>
      </c>
      <c r="F35" s="173">
        <v>60.0</v>
      </c>
      <c r="O35" s="161">
        <v>45316.0</v>
      </c>
      <c r="P35" s="162" t="s">
        <v>246</v>
      </c>
      <c r="Q35" s="162" t="s">
        <v>169</v>
      </c>
      <c r="R35" s="162" t="s">
        <v>900</v>
      </c>
      <c r="S35" s="163" t="s">
        <v>793</v>
      </c>
      <c r="T35" s="163">
        <v>90.0</v>
      </c>
    </row>
    <row r="36">
      <c r="O36" s="161">
        <v>45317.0</v>
      </c>
      <c r="P36" s="162" t="s">
        <v>246</v>
      </c>
      <c r="Q36" s="162" t="s">
        <v>173</v>
      </c>
      <c r="R36" s="162" t="s">
        <v>900</v>
      </c>
      <c r="S36" s="163" t="s">
        <v>796</v>
      </c>
      <c r="T36" s="163">
        <v>90.0</v>
      </c>
    </row>
    <row r="37">
      <c r="O37" s="161">
        <v>45320.0</v>
      </c>
      <c r="P37" s="162" t="s">
        <v>246</v>
      </c>
      <c r="Q37" s="162" t="s">
        <v>177</v>
      </c>
      <c r="R37" s="162" t="s">
        <v>900</v>
      </c>
      <c r="S37" s="163" t="s">
        <v>799</v>
      </c>
      <c r="T37" s="163">
        <v>90.0</v>
      </c>
    </row>
    <row r="39">
      <c r="O39" s="161">
        <v>45330.0</v>
      </c>
      <c r="P39" s="162" t="s">
        <v>246</v>
      </c>
      <c r="Q39" s="162" t="s">
        <v>196</v>
      </c>
      <c r="R39" s="162" t="s">
        <v>924</v>
      </c>
      <c r="S39" s="163" t="s">
        <v>782</v>
      </c>
      <c r="T39" s="163">
        <v>75.0</v>
      </c>
    </row>
    <row r="40">
      <c r="O40" s="161">
        <v>45331.0</v>
      </c>
      <c r="P40" s="162" t="s">
        <v>246</v>
      </c>
      <c r="Q40" s="162" t="s">
        <v>199</v>
      </c>
      <c r="R40" s="162" t="s">
        <v>924</v>
      </c>
      <c r="S40" s="163" t="s">
        <v>793</v>
      </c>
      <c r="T40" s="163">
        <v>75.0</v>
      </c>
    </row>
    <row r="41">
      <c r="O41" s="161">
        <v>45334.0</v>
      </c>
      <c r="P41" s="162" t="s">
        <v>246</v>
      </c>
      <c r="Q41" s="162" t="s">
        <v>202</v>
      </c>
      <c r="R41" s="162" t="s">
        <v>924</v>
      </c>
      <c r="S41" s="163" t="s">
        <v>796</v>
      </c>
      <c r="T41" s="163">
        <v>75.0</v>
      </c>
    </row>
    <row r="42">
      <c r="O42" s="161">
        <v>45336.0</v>
      </c>
      <c r="P42" s="162" t="s">
        <v>246</v>
      </c>
      <c r="Q42" s="162" t="s">
        <v>204</v>
      </c>
      <c r="R42" s="162" t="s">
        <v>924</v>
      </c>
      <c r="S42" s="163" t="s">
        <v>799</v>
      </c>
      <c r="T42" s="163">
        <v>75.0</v>
      </c>
    </row>
    <row r="43">
      <c r="O43" s="161">
        <v>45337.0</v>
      </c>
      <c r="P43" s="162" t="s">
        <v>246</v>
      </c>
      <c r="Q43" s="162" t="s">
        <v>208</v>
      </c>
      <c r="R43" s="162" t="s">
        <v>924</v>
      </c>
      <c r="S43" s="163" t="s">
        <v>953</v>
      </c>
      <c r="T43" s="163">
        <v>75.0</v>
      </c>
    </row>
    <row r="44">
      <c r="O44" s="161">
        <v>45338.0</v>
      </c>
      <c r="P44" s="162" t="s">
        <v>246</v>
      </c>
      <c r="Q44" s="162" t="s">
        <v>210</v>
      </c>
      <c r="R44" s="162" t="s">
        <v>924</v>
      </c>
      <c r="S44" s="163" t="s">
        <v>1065</v>
      </c>
      <c r="T44" s="163">
        <v>75.0</v>
      </c>
    </row>
    <row r="45">
      <c r="O45" s="161">
        <v>45339.0</v>
      </c>
      <c r="P45" s="162" t="s">
        <v>246</v>
      </c>
      <c r="Q45" s="162" t="s">
        <v>217</v>
      </c>
      <c r="R45" s="162" t="s">
        <v>924</v>
      </c>
      <c r="S45" s="163" t="s">
        <v>1068</v>
      </c>
      <c r="T45" s="163">
        <v>75.0</v>
      </c>
    </row>
    <row r="46">
      <c r="O46" s="161">
        <v>45341.0</v>
      </c>
      <c r="P46" s="162" t="s">
        <v>246</v>
      </c>
      <c r="Q46" s="162" t="s">
        <v>222</v>
      </c>
      <c r="R46" s="162" t="s">
        <v>924</v>
      </c>
      <c r="S46" s="163" t="s">
        <v>1072</v>
      </c>
      <c r="T46" s="163">
        <v>75.0</v>
      </c>
    </row>
    <row r="47">
      <c r="O47" s="160"/>
      <c r="P47" s="160"/>
      <c r="Q47" s="160"/>
      <c r="R47" s="160"/>
      <c r="S47" s="160"/>
      <c r="T47" s="160"/>
    </row>
    <row r="48">
      <c r="O48" s="185">
        <v>45390.0</v>
      </c>
      <c r="P48" s="186" t="s">
        <v>246</v>
      </c>
      <c r="Q48" s="186" t="s">
        <v>239</v>
      </c>
      <c r="R48" s="186" t="s">
        <v>924</v>
      </c>
      <c r="S48" s="187" t="s">
        <v>1145</v>
      </c>
      <c r="T48" s="187">
        <v>75.0</v>
      </c>
    </row>
    <row r="49">
      <c r="O49" s="185">
        <v>45391.0</v>
      </c>
      <c r="P49" s="186" t="s">
        <v>246</v>
      </c>
      <c r="Q49" s="186" t="s">
        <v>243</v>
      </c>
      <c r="R49" s="186" t="s">
        <v>924</v>
      </c>
      <c r="S49" s="187" t="s">
        <v>1145</v>
      </c>
      <c r="T49" s="187">
        <v>75.0</v>
      </c>
    </row>
    <row r="50">
      <c r="O50" s="188"/>
      <c r="P50" s="188"/>
      <c r="Q50" s="188"/>
      <c r="R50" s="188"/>
      <c r="S50" s="188"/>
      <c r="T50" s="188"/>
    </row>
    <row r="51">
      <c r="O51" s="185">
        <v>45392.0</v>
      </c>
      <c r="P51" s="186" t="s">
        <v>246</v>
      </c>
      <c r="Q51" s="186" t="s">
        <v>368</v>
      </c>
      <c r="R51" s="186" t="s">
        <v>924</v>
      </c>
      <c r="S51" s="187" t="s">
        <v>1145</v>
      </c>
      <c r="T51" s="187">
        <v>60.0</v>
      </c>
    </row>
    <row r="52">
      <c r="O52" s="185">
        <v>45393.0</v>
      </c>
      <c r="P52" s="186" t="s">
        <v>246</v>
      </c>
      <c r="Q52" s="189" t="s">
        <v>373</v>
      </c>
      <c r="R52" s="186" t="s">
        <v>924</v>
      </c>
      <c r="S52" s="187" t="s">
        <v>1145</v>
      </c>
      <c r="T52" s="187">
        <v>60.0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2134</v>
      </c>
      <c r="B1" s="3" t="s">
        <v>2098</v>
      </c>
    </row>
    <row r="2">
      <c r="A2" s="4">
        <v>3200.0</v>
      </c>
      <c r="B2" s="3" t="s">
        <v>2100</v>
      </c>
      <c r="C2" s="4">
        <v>3200.0</v>
      </c>
    </row>
    <row r="3">
      <c r="A3" s="83">
        <f t="shared" ref="A3:A4" si="1">average(C3:D3)</f>
        <v>2300</v>
      </c>
      <c r="B3" s="3" t="s">
        <v>2101</v>
      </c>
      <c r="C3" s="4">
        <v>2400.0</v>
      </c>
      <c r="D3" s="4">
        <v>2200.0</v>
      </c>
    </row>
    <row r="4">
      <c r="A4" s="83">
        <f t="shared" si="1"/>
        <v>1800</v>
      </c>
      <c r="B4" s="3" t="s">
        <v>2102</v>
      </c>
      <c r="C4" s="4">
        <v>1900.0</v>
      </c>
      <c r="D4" s="4">
        <v>1700.0</v>
      </c>
    </row>
    <row r="5">
      <c r="B5" s="3" t="s">
        <v>2135</v>
      </c>
    </row>
    <row r="6">
      <c r="A6" s="83">
        <f>average(C6:O6)</f>
        <v>1723.076923</v>
      </c>
      <c r="B6" s="3" t="s">
        <v>2103</v>
      </c>
      <c r="C6" s="4">
        <v>1600.0</v>
      </c>
      <c r="D6" s="4">
        <v>1500.0</v>
      </c>
      <c r="E6" s="4">
        <v>1500.0</v>
      </c>
      <c r="F6" s="4">
        <v>2300.0</v>
      </c>
      <c r="G6" s="4">
        <v>2000.0</v>
      </c>
      <c r="H6" s="4">
        <v>1700.0</v>
      </c>
      <c r="I6" s="4">
        <v>1600.0</v>
      </c>
      <c r="J6" s="4">
        <v>1600.0</v>
      </c>
      <c r="K6" s="4">
        <v>2000.0</v>
      </c>
      <c r="L6" s="4">
        <v>1600.0</v>
      </c>
      <c r="M6" s="4">
        <v>1600.0</v>
      </c>
      <c r="N6" s="4">
        <v>1600.0</v>
      </c>
      <c r="O6" s="4">
        <v>1800.0</v>
      </c>
    </row>
    <row r="7">
      <c r="A7" s="83">
        <f>average(C7:J7)</f>
        <v>1887.5</v>
      </c>
      <c r="B7" s="3" t="s">
        <v>2105</v>
      </c>
      <c r="C7" s="4">
        <v>2100.0</v>
      </c>
      <c r="D7" s="4">
        <v>2100.0</v>
      </c>
      <c r="E7" s="4">
        <v>2000.0</v>
      </c>
      <c r="F7" s="4">
        <v>1600.0</v>
      </c>
      <c r="G7" s="4">
        <v>1800.0</v>
      </c>
      <c r="H7" s="4">
        <v>2000.0</v>
      </c>
      <c r="I7" s="4">
        <v>1700.0</v>
      </c>
      <c r="J7" s="4">
        <v>1800.0</v>
      </c>
    </row>
    <row r="8">
      <c r="B8" s="3" t="s">
        <v>2136</v>
      </c>
    </row>
    <row r="9">
      <c r="B9" s="3" t="s">
        <v>2137</v>
      </c>
    </row>
    <row r="10">
      <c r="B10" s="3" t="s">
        <v>2138</v>
      </c>
    </row>
    <row r="11">
      <c r="B11" s="3" t="s">
        <v>2139</v>
      </c>
    </row>
    <row r="12">
      <c r="A12" s="83">
        <f>average(C12:F12)</f>
        <v>1775</v>
      </c>
      <c r="B12" s="3" t="s">
        <v>2106</v>
      </c>
      <c r="C12" s="4">
        <v>1900.0</v>
      </c>
      <c r="D12" s="4">
        <v>2000.0</v>
      </c>
      <c r="E12" s="4">
        <v>1700.0</v>
      </c>
      <c r="F12" s="4">
        <v>1500.0</v>
      </c>
    </row>
    <row r="13">
      <c r="B13" s="3" t="s">
        <v>2140</v>
      </c>
    </row>
    <row r="14">
      <c r="A14" s="4">
        <v>2900.0</v>
      </c>
      <c r="B14" s="3" t="s">
        <v>2107</v>
      </c>
      <c r="C14" s="4">
        <v>2900.0</v>
      </c>
    </row>
    <row r="15">
      <c r="A15" s="83">
        <f>average(C15:F15)</f>
        <v>2175</v>
      </c>
      <c r="B15" s="3" t="s">
        <v>2109</v>
      </c>
      <c r="C15" s="4">
        <v>2000.0</v>
      </c>
      <c r="D15" s="4">
        <v>1500.0</v>
      </c>
      <c r="E15" s="4">
        <v>2000.0</v>
      </c>
      <c r="F15" s="4">
        <v>3200.0</v>
      </c>
    </row>
    <row r="16">
      <c r="A16" s="83">
        <f>average(C16)</f>
        <v>2700</v>
      </c>
      <c r="B16" s="3" t="s">
        <v>2110</v>
      </c>
      <c r="C16" s="4">
        <v>2700.0</v>
      </c>
    </row>
    <row r="17">
      <c r="A17" s="83">
        <f>average(C17:J17)</f>
        <v>2175</v>
      </c>
      <c r="B17" s="3" t="s">
        <v>2111</v>
      </c>
      <c r="C17" s="4">
        <v>3000.0</v>
      </c>
      <c r="D17" s="4">
        <v>2300.0</v>
      </c>
      <c r="E17" s="4">
        <v>1900.0</v>
      </c>
      <c r="F17" s="4">
        <v>1500.0</v>
      </c>
      <c r="G17" s="4">
        <v>3000.0</v>
      </c>
      <c r="H17" s="4">
        <v>2200.0</v>
      </c>
      <c r="I17" s="4">
        <v>2000.0</v>
      </c>
      <c r="J17" s="4">
        <v>1500.0</v>
      </c>
    </row>
    <row r="18">
      <c r="B18" s="3" t="s">
        <v>2141</v>
      </c>
    </row>
    <row r="19">
      <c r="B19" s="3" t="s">
        <v>2142</v>
      </c>
    </row>
    <row r="20">
      <c r="A20" s="83">
        <f>average(C20:J20)</f>
        <v>2537.5</v>
      </c>
      <c r="B20" s="3" t="s">
        <v>2112</v>
      </c>
      <c r="C20" s="4">
        <v>2000.0</v>
      </c>
      <c r="D20" s="4">
        <v>2000.0</v>
      </c>
      <c r="E20" s="4">
        <v>3000.0</v>
      </c>
      <c r="F20" s="4">
        <v>3300.0</v>
      </c>
      <c r="G20" s="4">
        <v>2000.0</v>
      </c>
      <c r="H20" s="4">
        <v>2700.0</v>
      </c>
      <c r="I20" s="4">
        <v>3000.0</v>
      </c>
      <c r="J20" s="4">
        <v>2300.0</v>
      </c>
    </row>
    <row r="21">
      <c r="A21" s="83">
        <f>average(C21)</f>
        <v>1700</v>
      </c>
      <c r="B21" s="3" t="s">
        <v>2113</v>
      </c>
      <c r="C21" s="4">
        <v>1700.0</v>
      </c>
    </row>
    <row r="22">
      <c r="A22" s="83">
        <f>average(C22:D22)</f>
        <v>2100</v>
      </c>
      <c r="B22" s="3" t="s">
        <v>2114</v>
      </c>
      <c r="C22" s="4">
        <v>2700.0</v>
      </c>
      <c r="D22" s="4">
        <v>1500.0</v>
      </c>
    </row>
    <row r="23">
      <c r="B23" s="3" t="s">
        <v>2143</v>
      </c>
    </row>
    <row r="24">
      <c r="B24" s="3" t="s">
        <v>2144</v>
      </c>
    </row>
    <row r="25">
      <c r="B25" s="3" t="s">
        <v>2145</v>
      </c>
    </row>
    <row r="26">
      <c r="B26" s="3" t="s">
        <v>2146</v>
      </c>
    </row>
    <row r="27">
      <c r="B27" s="3" t="s">
        <v>2147</v>
      </c>
    </row>
    <row r="28">
      <c r="B28" s="3" t="s">
        <v>2148</v>
      </c>
    </row>
    <row r="29">
      <c r="B29" s="3" t="s">
        <v>2149</v>
      </c>
    </row>
    <row r="30">
      <c r="B30" s="3" t="s">
        <v>2150</v>
      </c>
    </row>
    <row r="31">
      <c r="A31" s="83">
        <f>average(C31:N31)</f>
        <v>2016.666667</v>
      </c>
      <c r="B31" s="3" t="s">
        <v>2115</v>
      </c>
      <c r="C31" s="4">
        <v>2500.0</v>
      </c>
      <c r="D31" s="4">
        <v>1800.0</v>
      </c>
      <c r="E31" s="4">
        <v>2000.0</v>
      </c>
      <c r="F31" s="4">
        <v>1800.0</v>
      </c>
      <c r="G31" s="4">
        <v>2200.0</v>
      </c>
      <c r="H31" s="4">
        <v>2000.0</v>
      </c>
      <c r="I31" s="4">
        <v>2000.0</v>
      </c>
      <c r="J31" s="4">
        <v>2000.0</v>
      </c>
      <c r="K31" s="4">
        <v>1900.0</v>
      </c>
      <c r="L31" s="4">
        <v>2000.0</v>
      </c>
      <c r="M31" s="4">
        <v>2000.0</v>
      </c>
      <c r="N31" s="4">
        <v>2000.0</v>
      </c>
    </row>
    <row r="32">
      <c r="A32" s="4">
        <v>1900.0</v>
      </c>
      <c r="B32" s="3" t="s">
        <v>2151</v>
      </c>
      <c r="C32" s="4">
        <v>1900.0</v>
      </c>
    </row>
    <row r="33">
      <c r="A33" s="83">
        <f>average(C33:E33)</f>
        <v>2000</v>
      </c>
      <c r="B33" s="3" t="s">
        <v>2117</v>
      </c>
      <c r="C33" s="4">
        <v>1900.0</v>
      </c>
      <c r="D33" s="4">
        <v>2100.0</v>
      </c>
      <c r="E33" s="4">
        <v>2000.0</v>
      </c>
    </row>
    <row r="34">
      <c r="B34" s="3" t="s">
        <v>2152</v>
      </c>
    </row>
    <row r="35">
      <c r="A35" s="83">
        <f>average(C35:I35)</f>
        <v>2014.285714</v>
      </c>
      <c r="B35" s="3" t="s">
        <v>2118</v>
      </c>
      <c r="C35" s="4">
        <v>1900.0</v>
      </c>
      <c r="D35" s="4">
        <v>2200.0</v>
      </c>
      <c r="E35" s="4">
        <v>2000.0</v>
      </c>
      <c r="F35" s="4">
        <v>1900.0</v>
      </c>
      <c r="G35" s="4">
        <v>2000.0</v>
      </c>
      <c r="H35" s="4">
        <v>1900.0</v>
      </c>
      <c r="I35" s="4">
        <v>2200.0</v>
      </c>
    </row>
    <row r="36">
      <c r="B36" s="3" t="s">
        <v>2153</v>
      </c>
    </row>
    <row r="37">
      <c r="A37" s="83">
        <f>average(C37:D37)</f>
        <v>2000</v>
      </c>
      <c r="B37" s="3" t="s">
        <v>2154</v>
      </c>
      <c r="C37" s="4">
        <v>2000.0</v>
      </c>
      <c r="D37" s="4">
        <v>2000.0</v>
      </c>
    </row>
    <row r="38">
      <c r="A38" s="83">
        <f>average(C38:U38)</f>
        <v>1973.684211</v>
      </c>
      <c r="B38" s="3" t="s">
        <v>2120</v>
      </c>
      <c r="C38" s="4">
        <v>2300.0</v>
      </c>
      <c r="D38" s="4">
        <v>2000.0</v>
      </c>
      <c r="E38" s="4">
        <v>1900.0</v>
      </c>
      <c r="F38" s="4">
        <v>2000.0</v>
      </c>
      <c r="G38" s="4">
        <v>1800.0</v>
      </c>
      <c r="H38" s="4">
        <v>2300.0</v>
      </c>
      <c r="I38" s="4">
        <v>2000.0</v>
      </c>
      <c r="J38" s="4">
        <v>1900.0</v>
      </c>
      <c r="K38" s="4">
        <v>2100.0</v>
      </c>
      <c r="L38" s="4">
        <v>2000.0</v>
      </c>
      <c r="M38" s="4">
        <v>2000.0</v>
      </c>
      <c r="N38" s="4">
        <v>2000.0</v>
      </c>
      <c r="O38" s="4">
        <v>2000.0</v>
      </c>
      <c r="P38" s="4">
        <v>2200.0</v>
      </c>
      <c r="Q38" s="4">
        <v>2300.0</v>
      </c>
      <c r="R38" s="4">
        <v>1800.0</v>
      </c>
      <c r="S38" s="4">
        <v>1300.0</v>
      </c>
      <c r="T38" s="4">
        <v>1400.0</v>
      </c>
      <c r="U38" s="4">
        <v>2200.0</v>
      </c>
    </row>
    <row r="39">
      <c r="B39" s="3" t="s">
        <v>2155</v>
      </c>
    </row>
    <row r="40">
      <c r="B40" s="3" t="s">
        <v>2156</v>
      </c>
    </row>
    <row r="41">
      <c r="A41" s="83">
        <f>average(C41:F41)</f>
        <v>2000</v>
      </c>
      <c r="B41" s="3" t="s">
        <v>2122</v>
      </c>
      <c r="C41" s="4">
        <v>2100.0</v>
      </c>
      <c r="D41" s="4">
        <v>2100.0</v>
      </c>
      <c r="E41" s="4">
        <v>2100.0</v>
      </c>
      <c r="F41" s="4">
        <v>1700.0</v>
      </c>
    </row>
    <row r="42">
      <c r="B42" s="3" t="s">
        <v>2157</v>
      </c>
    </row>
    <row r="43">
      <c r="B43" s="3" t="s">
        <v>2158</v>
      </c>
    </row>
    <row r="44">
      <c r="A44" s="83">
        <f>average(C44:AG44)</f>
        <v>2206.451613</v>
      </c>
      <c r="B44" s="3" t="s">
        <v>2123</v>
      </c>
      <c r="C44" s="4">
        <v>2000.0</v>
      </c>
      <c r="D44" s="4">
        <v>1700.0</v>
      </c>
      <c r="E44" s="4">
        <v>3200.0</v>
      </c>
      <c r="F44" s="4">
        <v>2000.0</v>
      </c>
      <c r="G44" s="4">
        <v>2500.0</v>
      </c>
      <c r="H44" s="4">
        <v>2500.0</v>
      </c>
      <c r="I44" s="4">
        <v>2000.0</v>
      </c>
      <c r="J44" s="4">
        <v>2000.0</v>
      </c>
      <c r="K44" s="4">
        <v>2600.0</v>
      </c>
      <c r="L44" s="4">
        <v>2200.0</v>
      </c>
      <c r="M44" s="4">
        <v>2400.0</v>
      </c>
      <c r="N44" s="4">
        <v>2500.0</v>
      </c>
      <c r="O44" s="4">
        <v>2200.0</v>
      </c>
      <c r="P44" s="4">
        <v>2500.0</v>
      </c>
      <c r="Q44" s="4">
        <v>2500.0</v>
      </c>
      <c r="R44" s="4">
        <v>2300.0</v>
      </c>
      <c r="S44" s="4">
        <v>2300.0</v>
      </c>
      <c r="T44" s="4">
        <v>2200.0</v>
      </c>
      <c r="U44" s="4">
        <v>2200.0</v>
      </c>
      <c r="V44" s="4">
        <v>2500.0</v>
      </c>
      <c r="W44" s="4">
        <v>2200.0</v>
      </c>
      <c r="X44" s="4">
        <v>2300.0</v>
      </c>
      <c r="Y44" s="4">
        <v>2600.0</v>
      </c>
      <c r="Z44" s="4">
        <v>1900.0</v>
      </c>
      <c r="AA44" s="4">
        <v>1400.0</v>
      </c>
      <c r="AB44" s="4">
        <v>2000.0</v>
      </c>
      <c r="AC44" s="4">
        <v>2000.0</v>
      </c>
      <c r="AD44" s="4">
        <v>1800.0</v>
      </c>
      <c r="AE44" s="4">
        <v>1700.0</v>
      </c>
      <c r="AF44" s="4">
        <v>2300.0</v>
      </c>
      <c r="AG44" s="4">
        <v>1900.0</v>
      </c>
    </row>
    <row r="45">
      <c r="B45" s="3" t="s">
        <v>2159</v>
      </c>
    </row>
    <row r="46">
      <c r="B46" s="3" t="s">
        <v>2160</v>
      </c>
    </row>
    <row r="47">
      <c r="B47" s="3" t="s">
        <v>2161</v>
      </c>
    </row>
    <row r="48">
      <c r="B48" s="3" t="s">
        <v>2162</v>
      </c>
    </row>
    <row r="49">
      <c r="B49" s="3" t="s">
        <v>2163</v>
      </c>
    </row>
    <row r="50">
      <c r="B50" s="3" t="s">
        <v>2164</v>
      </c>
    </row>
    <row r="51">
      <c r="B51" s="3" t="s">
        <v>2165</v>
      </c>
    </row>
    <row r="52">
      <c r="B52" s="3" t="s">
        <v>2166</v>
      </c>
    </row>
    <row r="53">
      <c r="B53" s="3" t="s">
        <v>2167</v>
      </c>
    </row>
    <row r="54">
      <c r="B54" s="3" t="s">
        <v>2168</v>
      </c>
    </row>
    <row r="55">
      <c r="B55" s="3" t="s">
        <v>2169</v>
      </c>
    </row>
    <row r="56">
      <c r="B56" s="3" t="s">
        <v>2170</v>
      </c>
    </row>
    <row r="57">
      <c r="B57" s="3" t="s">
        <v>2171</v>
      </c>
    </row>
    <row r="58">
      <c r="A58" s="83">
        <f>average(C58:D58)</f>
        <v>2350</v>
      </c>
      <c r="B58" s="3" t="s">
        <v>2172</v>
      </c>
      <c r="C58" s="4">
        <v>2200.0</v>
      </c>
      <c r="D58" s="4">
        <v>2500.0</v>
      </c>
    </row>
    <row r="59">
      <c r="A59" s="83">
        <f>average(C59:E59)</f>
        <v>1866.666667</v>
      </c>
      <c r="B59" s="3" t="s">
        <v>2173</v>
      </c>
      <c r="C59" s="4">
        <v>1900.0</v>
      </c>
      <c r="D59" s="4">
        <v>1900.0</v>
      </c>
      <c r="E59" s="4">
        <v>1800.0</v>
      </c>
    </row>
    <row r="60">
      <c r="B60" s="3" t="s">
        <v>2174</v>
      </c>
    </row>
    <row r="61">
      <c r="A61" s="83">
        <f>average(C61:D61)</f>
        <v>1850</v>
      </c>
      <c r="B61" s="3" t="s">
        <v>2126</v>
      </c>
      <c r="C61" s="4">
        <v>1700.0</v>
      </c>
      <c r="D61" s="4">
        <v>2000.0</v>
      </c>
    </row>
    <row r="62">
      <c r="B62" s="3" t="s">
        <v>2175</v>
      </c>
    </row>
    <row r="63">
      <c r="B63" s="3" t="s">
        <v>2176</v>
      </c>
    </row>
    <row r="64">
      <c r="B64" s="3" t="s">
        <v>2177</v>
      </c>
    </row>
    <row r="65">
      <c r="A65" s="83">
        <f>average(C65:I65)</f>
        <v>2385.714286</v>
      </c>
      <c r="B65" s="3" t="s">
        <v>2178</v>
      </c>
      <c r="C65" s="4">
        <v>3100.0</v>
      </c>
      <c r="D65" s="4">
        <v>2800.0</v>
      </c>
      <c r="E65" s="4">
        <v>2600.0</v>
      </c>
      <c r="F65" s="4">
        <v>1900.0</v>
      </c>
      <c r="G65" s="4">
        <v>1900.0</v>
      </c>
      <c r="H65" s="4">
        <v>2200.0</v>
      </c>
      <c r="I65" s="4">
        <v>2200.0</v>
      </c>
    </row>
    <row r="66">
      <c r="A66" s="4">
        <v>2200.0</v>
      </c>
      <c r="B66" s="3" t="s">
        <v>2128</v>
      </c>
      <c r="C66" s="4">
        <v>2200.0</v>
      </c>
    </row>
    <row r="67">
      <c r="B67" s="3" t="s">
        <v>2179</v>
      </c>
    </row>
    <row r="68">
      <c r="A68" s="4">
        <v>2000.0</v>
      </c>
      <c r="B68" s="3" t="s">
        <v>2129</v>
      </c>
      <c r="C68" s="4">
        <v>2000.0</v>
      </c>
    </row>
    <row r="69">
      <c r="B69" s="3" t="s">
        <v>2180</v>
      </c>
    </row>
    <row r="70">
      <c r="B70" s="3" t="s">
        <v>2181</v>
      </c>
    </row>
    <row r="71">
      <c r="A71" s="83">
        <f>average(C71:I71)</f>
        <v>2028.571429</v>
      </c>
      <c r="B71" s="3" t="s">
        <v>2131</v>
      </c>
      <c r="C71" s="4">
        <v>1800.0</v>
      </c>
      <c r="D71" s="4">
        <v>1900.0</v>
      </c>
      <c r="E71" s="4">
        <v>1900.0</v>
      </c>
      <c r="F71" s="4">
        <v>2200.0</v>
      </c>
      <c r="G71" s="4">
        <v>2200.0</v>
      </c>
      <c r="H71" s="4">
        <v>2000.0</v>
      </c>
      <c r="I71" s="4">
        <v>2200.0</v>
      </c>
    </row>
    <row r="72">
      <c r="A72" s="83">
        <f>average(C72:S72)</f>
        <v>2270.588235</v>
      </c>
      <c r="B72" s="3" t="s">
        <v>2182</v>
      </c>
      <c r="C72" s="4">
        <v>2500.0</v>
      </c>
      <c r="D72" s="4">
        <v>2600.0</v>
      </c>
      <c r="E72" s="4">
        <v>2500.0</v>
      </c>
      <c r="F72" s="4">
        <v>2600.0</v>
      </c>
      <c r="G72" s="4">
        <v>2400.0</v>
      </c>
      <c r="H72" s="4">
        <v>2700.0</v>
      </c>
      <c r="I72" s="4">
        <v>2000.0</v>
      </c>
      <c r="J72" s="4">
        <v>2300.0</v>
      </c>
      <c r="K72" s="4">
        <v>2200.0</v>
      </c>
      <c r="L72" s="4">
        <v>2000.0</v>
      </c>
      <c r="M72" s="4">
        <v>2400.0</v>
      </c>
      <c r="N72" s="4">
        <v>2100.0</v>
      </c>
      <c r="O72" s="4">
        <v>2000.0</v>
      </c>
      <c r="P72" s="4">
        <v>2200.0</v>
      </c>
      <c r="Q72" s="4">
        <v>2000.0</v>
      </c>
      <c r="R72" s="4">
        <v>2100.0</v>
      </c>
      <c r="S72" s="4">
        <v>2000.0</v>
      </c>
    </row>
    <row r="73">
      <c r="B73" s="3" t="s">
        <v>2183</v>
      </c>
    </row>
    <row r="74">
      <c r="A74" s="4">
        <v>3000.0</v>
      </c>
      <c r="B74" s="3" t="s">
        <v>2184</v>
      </c>
      <c r="C74" s="4">
        <v>3000.0</v>
      </c>
    </row>
    <row r="75">
      <c r="B75" s="3" t="s">
        <v>2185</v>
      </c>
    </row>
    <row r="76">
      <c r="B76" s="3" t="s">
        <v>2186</v>
      </c>
    </row>
    <row r="77">
      <c r="B77" s="3"/>
    </row>
    <row r="78">
      <c r="B78" s="11"/>
    </row>
    <row r="79">
      <c r="B79" s="11"/>
    </row>
    <row r="80">
      <c r="B80" s="11"/>
    </row>
  </sheetData>
  <drawing r:id="rId1"/>
</worksheet>
</file>